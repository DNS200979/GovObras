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509248a25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5962f8120c3e44d9"/>
    <x:sheet xmlns:r="http://schemas.openxmlformats.org/officeDocument/2006/relationships" name="Oportunidades" sheetId="2" r:id="Rc11ff32539f8466a"/>
    <x:sheet xmlns:r="http://schemas.openxmlformats.org/officeDocument/2006/relationships" name="Documentos" sheetId="3" r:id="Rd93aa486414e4343"/>
    <x:sheet xmlns:r="http://schemas.openxmlformats.org/officeDocument/2006/relationships" name="Diagnostico" sheetId="4" r:id="R98a484d4ceb2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B35"/>
      <x:name val="Carlito"/>
    </x:font>
    <x:font>
      <x:b/>
      <x:sz val="11"/>
      <x:color rgb="FFFFFFFF"/>
      <x:name val="Carlito"/>
    </x:font>
    <x:font>
      <x:b/>
      <x:sz val="11"/>
      <x:color rgb="FF176B54"/>
      <x:name val="Carlito"/>
    </x:font>
    <x:font>
      <x:i/>
      <x:sz val="11"/>
      <x:color rgb="FF7A4E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B35"/>
      <x:name val="Aptos"/>
    </x:font>
    <x:font>
      <x:b/>
      <x:sz val="10"/>
      <x:color rgb="FF176B54"/>
      <x:name val="Aptos"/>
    </x:font>
    <x:font>
      <x:i/>
      <x:sz val="10"/>
      <x:color rgb="FF7A4E00"/>
      <x:name val="Aptos"/>
    </x:font>
    <x:font>
      <x:b/>
      <x:sz val="11"/>
      <x:color rgb="FF7A4E00"/>
      <x:name val="Carlito"/>
    </x:font>
    <x:font>
      <x:b/>
      <x:sz val="10"/>
      <x:color rgb="FF7A4E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B35"/>
      </x:patternFill>
    </x:fill>
    <x:fill>
      <x:patternFill patternType="solid">
        <x:fgColor rgb="FFE8F3EF"/>
      </x:patternFill>
    </x:fill>
    <x:fill>
      <x:patternFill patternType="solid">
        <x:fgColor rgb="FFF6F8F7"/>
      </x:patternFill>
    </x:fill>
    <x:fill>
      <x:patternFill patternType="solid">
        <x:fgColor rgb="FF176B54"/>
      </x:patternFill>
    </x:fill>
    <x:fill>
      <x:patternFill patternType="solid">
        <x:fgColor rgb="FFFFF4D8"/>
      </x:patternFill>
    </x:fill>
  </x:fills>
  <x:borders count="5">
    <x:border/>
    <x:border>
      <x:bottom style="medium">
        <x:color rgb="FF176B5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/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11" fillId="6" borderId="2" xfId="0" applyNumberFormat="1" applyFont="1" applyFill="1" applyBorder="1" applyAlignment="1">
      <x:alignment vertical="top" wrapText="1"/>
    </x:xf>
    <x:xf numFmtId="0" fontId="11" fillId="6" borderId="3" xfId="0" applyNumberFormat="1" applyFont="1" applyFill="1" applyBorder="1" applyAlignment="1">
      <x:alignment vertical="top" wrapText="1"/>
    </x:xf>
    <x:xf numFmtId="0" fontId="11" fillId="6" borderId="4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0" fontId="7" fillId="0" borderId="3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2" fillId="6" borderId="3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/>
    <x:xf numFmtId="0" fontId="12" fillId="6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68e2d829f4bf4" /><Relationship Type="http://schemas.openxmlformats.org/officeDocument/2006/relationships/theme" Target="/xl/theme/theme1.xml" Id="R305019cd10e54a6c" /><Relationship Type="http://schemas.openxmlformats.org/officeDocument/2006/relationships/sharedStrings" Target="/xl/sharedStrings.xml" Id="R2c443f362fd04d2c" /><Relationship Type="http://schemas.openxmlformats.org/officeDocument/2006/relationships/worksheet" Target="/xl/worksheets/sheet1.xml" Id="R5962f8120c3e44d9" /><Relationship Type="http://schemas.openxmlformats.org/officeDocument/2006/relationships/worksheet" Target="/xl/worksheets/sheet2.xml" Id="Rc11ff32539f8466a" /><Relationship Type="http://schemas.openxmlformats.org/officeDocument/2006/relationships/worksheet" Target="/xl/worksheets/sheet3.xml" Id="Rd93aa486414e4343" /><Relationship Type="http://schemas.openxmlformats.org/officeDocument/2006/relationships/worksheet" Target="/xl/worksheets/sheet4.xml" Id="R98a484d4ceb24ac7" /><Relationship Type="http://schemas.microsoft.com/office/2017/10/relationships/person" Target="/xl/persons/person.xml" Id="R40472fdf55464674" /></Relationships>
</file>

<file path=xl/persons/person.xml><?xml version="1.0" encoding="utf-8"?>
<xltc:personList xmlns:xltc="http://schemas.microsoft.com/office/spreadsheetml/2018/threadedcomments">
  <xltc:person displayName="Denis Fernandes" id="{98625EC7-3A85-4D74-A40E-515B1364D5AB}"/>
</xltc:personList>
</file>

<file path=xl/tables/table1.xml><?xml version="1.0" encoding="utf-8"?>
<x:table xmlns:x="http://schemas.openxmlformats.org/spreadsheetml/2006/main" id="1" name="OportunidadesClima" displayName="OportunidadesClima" ref="A3:Q21" headerRowCount="1" totalsRowCount="0" totalsRowShown="0">
  <x:tableColumns count="17">
    <x:tableColumn id="1" name="ID"/>
    <x:tableColumn id="2" name="Instituição / programa"/>
    <x:tableColumn id="3" name="País / natureza"/>
    <x:tableColumn id="4" name="Modalidade"/>
    <x:tableColumn id="5" name="Acesso municipal"/>
    <x:tableColumn id="6" name="Estágio apoiado"/>
    <x:tableColumn id="7" name="Temas principais"/>
    <x:tableColumn id="8" name="Abrangência no Brasil"/>
    <x:tableColumn id="9" name="Faixa / referência"/>
    <x:tableColumn id="10" name="Contrapartida / cofinanciamento"/>
    <x:tableColumn id="11" name="Rota de acesso"/>
    <x:tableColumn id="12" name="Situação em 2026"/>
    <x:tableColumn id="13" name="Prioridade inicial"/>
    <x:tableColumn id="14" name="Prazo típico estimado"/>
    <x:tableColumn id="15" name="Exigências críticas"/>
    <x:tableColumn id="16" name="Fonte oficial"/>
    <x:tableColumn id="17" name="Última revisã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ocumentosClima" displayName="DocumentosClima" ref="A3:H28" headerRowCount="1" totalsRowCount="0" totalsRowShown="0">
  <x:tableColumns count="8">
    <x:tableColumn id="1" name="ID"/>
    <x:tableColumn id="2" name="Documento / evidência"/>
    <x:tableColumn id="3" name="Doação / fundo"/>
    <x:tableColumn id="4" name="Assistência técnica"/>
    <x:tableColumn id="5" name="Crédito externo"/>
    <x:tableColumn id="6" name="Prioridade"/>
    <x:tableColumn id="7" name="Responsável sugerido"/>
    <x:tableColumn id="8" name="Observação para o CarbonO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c57f02f1f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6225f8966b4f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5" hidden="0" customWidth="1"/>
    <x:col min="3" max="3" width="3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8" t="str">
        <x:v>Matriz de Financiamento Climático Municipal — CarbonOS</x:v>
      </x:c>
      <x:c r="B1" s="28"/>
      <x:c r="C1" s="28"/>
      <x:c r="D1" s="28"/>
      <x:c r="E1" s="28"/>
      <x:c r="F1" s="28"/>
      <x:c r="G1" s="28"/>
      <x:c r="H1" s="28"/>
    </x:row>
    <x:row r="2" ht="28" customHeight="1">
      <x:c r="A2" s="28"/>
      <x:c r="B2" s="28"/>
      <x:c r="C2" s="28"/>
      <x:c r="D2" s="28"/>
      <x:c r="E2" s="28"/>
      <x:c r="F2" s="28"/>
      <x:c r="G2" s="28"/>
      <x:c r="H2" s="28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 t="str">
        <x:v>Objetivo</x:v>
      </x:c>
      <x:c r="B4" s="30"/>
      <x:c r="C4" s="30"/>
      <x:c r="D4" s="30"/>
      <x:c r="E4" s="30"/>
      <x:c r="F4" s="30"/>
      <x:c r="G4" s="30"/>
      <x:c r="H4" s="30"/>
    </x:row>
    <x:row r="5">
      <x:c r="A5" s="31" t="str">
        <x:v>Apoiar prefeituras brasileiras na identificação da rota adequada para captar doações, assistência técnica, crédito concessional ou financiamento multilateral para projetos de mitigação, adaptação e infraestrutura sustentável.</x:v>
      </x:c>
      <x:c r="B5" s="31"/>
      <x:c r="C5" s="31"/>
      <x:c r="D5" s="31"/>
      <x:c r="E5" s="31"/>
      <x:c r="F5" s="31"/>
      <x:c r="G5" s="31"/>
      <x:c r="H5" s="31"/>
    </x:row>
    <x:row r="6">
      <x:c r="A6" s="31"/>
      <x:c r="B6" s="31"/>
      <x:c r="C6" s="31"/>
      <x:c r="D6" s="31"/>
      <x:c r="E6" s="31"/>
      <x:c r="F6" s="31"/>
      <x:c r="G6" s="31"/>
      <x:c r="H6" s="31"/>
    </x:row>
    <x:row r="7">
      <x:c r="A7" s="29"/>
      <x:c r="B7" s="29"/>
      <x:c r="C7" s="29"/>
      <x:c r="D7" s="29"/>
      <x:c r="E7" s="29"/>
      <x:c r="F7" s="29"/>
      <x:c r="G7" s="29"/>
      <x:c r="H7" s="29"/>
    </x:row>
    <x:row r="8">
      <x:c r="A8" s="32" t="str">
        <x:v>Aba</x:v>
      </x:c>
      <x:c r="B8" s="32" t="str">
        <x:v>Como utilizar</x:v>
      </x:c>
      <x:c r="C8" s="32" t="str">
        <x:v>Resultado esperado</x:v>
      </x:c>
      <x:c r="D8" s="29"/>
      <x:c r="E8" s="29"/>
      <x:c r="F8" s="29"/>
      <x:c r="G8" s="29"/>
      <x:c r="H8" s="29"/>
    </x:row>
    <x:row r="9">
      <x:c r="A9" s="33" t="str">
        <x:v>Oportunidades</x:v>
      </x:c>
      <x:c r="B9" s="33" t="str">
        <x:v>Filtre por modalidade, acesso, tema, território e situação. Confirme a atualização na fonte oficial antes de protocolar.</x:v>
      </x:c>
      <x:c r="C9" s="33" t="str">
        <x:v>Lista curta de financiadores compatíveis.</x:v>
      </x:c>
      <x:c r="D9" s="29"/>
      <x:c r="E9" s="29"/>
      <x:c r="F9" s="29"/>
      <x:c r="G9" s="29"/>
      <x:c r="H9" s="29"/>
    </x:row>
    <x:row r="10">
      <x:c r="A10" s="34" t="str">
        <x:v>Documentos</x:v>
      </x:c>
      <x:c r="B10" s="34" t="str">
        <x:v>Marque a situação de cada documento no diagnóstico interno da prefeitura.</x:v>
      </x:c>
      <x:c r="C10" s="34" t="str">
        <x:v>Plano de ação documental por rota.</x:v>
      </x:c>
      <x:c r="D10" s="29"/>
      <x:c r="E10" s="29"/>
      <x:c r="F10" s="29"/>
      <x:c r="G10" s="29"/>
      <x:c r="H10" s="29"/>
    </x:row>
    <x:row r="11">
      <x:c r="A11" s="35" t="str">
        <x:v>Diagnostico</x:v>
      </x:c>
      <x:c r="B11" s="35" t="str">
        <x:v>Escolha Sim, Parcial ou Não. A pontuação e a classificação são calculadas automaticamente.</x:v>
      </x:c>
      <x:c r="C11" s="35" t="str">
        <x:v>Nível de prontidão e próximos passos.</x:v>
      </x:c>
      <x:c r="D11" s="29"/>
      <x:c r="E11" s="29"/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30" t="str">
        <x:v>Regras importantes</x:v>
      </x:c>
      <x:c r="B13" s="30"/>
      <x:c r="C13" s="30"/>
      <x:c r="D13" s="30"/>
      <x:c r="E13" s="30"/>
      <x:c r="F13" s="30"/>
      <x:c r="G13" s="30"/>
      <x:c r="H13" s="30"/>
    </x:row>
    <x:row r="14">
      <x:c r="A14" s="36" t="str">
        <x:v>1</x:v>
      </x:c>
      <x:c r="B14" s="37" t="str">
        <x:v>GCF, GEF e Fundo de Adaptação normalmente exigem entidade acreditada/implementadora e anuência nacional; a prefeitura não envia isoladamente.</x:v>
      </x:c>
      <x:c r="C14" s="29"/>
      <x:c r="D14" s="29"/>
      <x:c r="E14" s="29"/>
      <x:c r="F14" s="29"/>
      <x:c r="G14" s="29"/>
      <x:c r="H14" s="29"/>
    </x:row>
    <x:row r="15">
      <x:c r="A15" s="36" t="str">
        <x:v>2</x:v>
      </x:c>
      <x:c r="B15" s="37" t="str">
        <x:v>Crédito externo municipal normalmente exige COFIEX, análise fiscal, autorização legislativa, STN e, quando aplicável, garantia da União e Senado.</x:v>
      </x:c>
      <x:c r="C15" s="29"/>
      <x:c r="D15" s="29"/>
      <x:c r="E15" s="29"/>
      <x:c r="F15" s="29"/>
      <x:c r="G15" s="29"/>
      <x:c r="H15" s="29"/>
    </x:row>
    <x:row r="16">
      <x:c r="A16" s="36" t="str">
        <x:v>3</x:v>
      </x:c>
      <x:c r="B16" s="37" t="str">
        <x:v>Assistência técnica de preparação não paga necessariamente a obra; seu objetivo é tornar o projeto financiável.</x:v>
      </x:c>
      <x:c r="C16" s="29"/>
      <x:c r="D16" s="29"/>
      <x:c r="E16" s="29"/>
      <x:c r="F16" s="29"/>
      <x:c r="G16" s="29"/>
      <x:c r="H16" s="29"/>
    </x:row>
    <x:row r="17">
      <x:c r="A17" s="36" t="str">
        <x:v>4</x:v>
      </x:c>
      <x:c r="B17" s="37" t="str">
        <x:v>Chamadas encerradas permanecem como canais de monitoramento e referência, não como oportunidade aberta.</x:v>
      </x:c>
      <x:c r="C17" s="29"/>
      <x:c r="D17" s="29"/>
      <x:c r="E17" s="29"/>
      <x:c r="F17" s="29"/>
      <x:c r="G17" s="29"/>
      <x:c r="H17" s="29"/>
    </x:row>
    <x:row r="18">
      <x:c r="A18" s="36" t="str">
        <x:v>5</x:v>
      </x:c>
      <x:c r="B18" s="37" t="str">
        <x:v>Valores são indicativos ou de operações anteriores; não representam direito adquirido nem oferta automática.</x:v>
      </x:c>
      <x:c r="C18" s="29"/>
      <x:c r="D18" s="29"/>
      <x:c r="E18" s="29"/>
      <x:c r="F18" s="29"/>
      <x:c r="G18" s="29"/>
      <x:c r="H18" s="29"/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38" t="str">
        <x:v>Atualização da pesquisa: 2026-08-07 | Sempre validar condições, chamadas e contatos na fonte oficial.</x:v>
      </x:c>
      <x:c r="B20" s="38"/>
      <x:c r="C20" s="38"/>
      <x:c r="D20" s="38"/>
      <x:c r="E20" s="38"/>
      <x:c r="F20" s="38"/>
      <x:c r="G20" s="38"/>
      <x:c r="H20" s="38"/>
    </x:row>
  </x:sheetData>
  <x:mergeCells>
    <x:mergeCell ref="A1:H2"/>
    <x:mergeCell ref="A4:H4"/>
    <x:mergeCell ref="A5:H6"/>
    <x:mergeCell ref="A13:H13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20" hidden="0" customWidth="1"/>
    <x:col min="4" max="4" width="24" hidden="0" customWidth="1"/>
    <x:col min="5" max="5" width="22" hidden="0" customWidth="1"/>
    <x:col min="6" max="6" width="21" hidden="0" customWidth="1"/>
    <x:col min="7" max="7" width="38" hidden="0" customWidth="1"/>
    <x:col min="8" max="8" width="23" hidden="0" customWidth="1"/>
    <x:col min="9" max="9" width="32" hidden="0" customWidth="1"/>
    <x:col min="10" max="10" width="30" hidden="0" customWidth="1"/>
    <x:col min="11" max="11" width="38" hidden="0" customWidth="1"/>
    <x:col min="12" max="12" width="25" hidden="0" customWidth="1"/>
    <x:col min="13" max="13" width="22" hidden="0" customWidth="1"/>
    <x:col min="14" max="14" width="18" hidden="0" customWidth="1"/>
    <x:col min="15" max="15" width="45" hidden="0" customWidth="1"/>
    <x:col min="16" max="16" width="58" hidden="0" customWidth="1"/>
    <x:col min="17" max="17" width="14" hidden="0" customWidth="1"/>
  </x:cols>
  <x:sheetData>
    <x:row r="1" ht="28" customHeight="1">
      <x:c r="A1" s="28" t="str">
        <x:v>Oportunidades de financiamento e preparação de projetos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28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 ht="48" customHeight="1">
      <x:c r="A3" s="32" t="str">
        <x:v>ID</x:v>
      </x:c>
      <x:c r="B3" s="32" t="str">
        <x:v>Instituição / programa</x:v>
      </x:c>
      <x:c r="C3" s="32" t="str">
        <x:v>País / natureza</x:v>
      </x:c>
      <x:c r="D3" s="32" t="str">
        <x:v>Modalidade</x:v>
      </x:c>
      <x:c r="E3" s="32" t="str">
        <x:v>Acesso municipal</x:v>
      </x:c>
      <x:c r="F3" s="32" t="str">
        <x:v>Estágio apoiado</x:v>
      </x:c>
      <x:c r="G3" s="32" t="str">
        <x:v>Temas principais</x:v>
      </x:c>
      <x:c r="H3" s="32" t="str">
        <x:v>Abrangência no Brasil</x:v>
      </x:c>
      <x:c r="I3" s="32" t="str">
        <x:v>Faixa / referência</x:v>
      </x:c>
      <x:c r="J3" s="32" t="str">
        <x:v>Contrapartida / cofinanciamento</x:v>
      </x:c>
      <x:c r="K3" s="32" t="str">
        <x:v>Rota de acesso</x:v>
      </x:c>
      <x:c r="L3" s="32" t="str">
        <x:v>Situação em 2026</x:v>
      </x:c>
      <x:c r="M3" s="32" t="str">
        <x:v>Prioridade inicial</x:v>
      </x:c>
      <x:c r="N3" s="32" t="str">
        <x:v>Prazo típico estimado</x:v>
      </x:c>
      <x:c r="O3" s="32" t="str">
        <x:v>Exigências críticas</x:v>
      </x:c>
      <x:c r="P3" s="32" t="str">
        <x:v>Fonte oficial</x:v>
      </x:c>
      <x:c r="Q3" s="32" t="str">
        <x:v>Última revisão</x:v>
      </x:c>
    </x:row>
    <x:row r="4" ht="78" customHeight="1">
      <x:c r="A4" s="33" t="n">
        <x:v>1</x:v>
      </x:c>
      <x:c r="B4" s="33" t="str">
        <x:v>Green Climate Fund (GCF)</x:v>
      </x:c>
      <x:c r="C4" s="33" t="str">
        <x:v>Fundo multilateral</x:v>
      </x:c>
      <x:c r="D4" s="33" t="str">
        <x:v>Doação, crédito concessional, garantia e TA</x:v>
      </x:c>
      <x:c r="E4" s="33" t="str">
        <x:v>Indireto</x:v>
      </x:c>
      <x:c r="F4" s="33" t="str">
        <x:v>Preparação e investimento</x:v>
      </x:c>
      <x:c r="G4" s="33" t="str">
        <x:v>Adaptação; mitigação; infraestrutura; resíduos; água</x:v>
      </x:c>
      <x:c r="H4" s="33" t="str">
        <x:v>Nacional</x:v>
      </x:c>
      <x:c r="I4" s="33" t="str">
        <x:v>Definida por projeto/programa</x:v>
      </x:c>
      <x:c r="J4" s="33" t="str">
        <x:v>Geralmente exigido ou valorizado</x:v>
      </x:c>
      <x:c r="K4" s="33" t="str">
        <x:v>Entidade Acreditada + anuência da autoridade nacional</x:v>
      </x:c>
      <x:c r="L4" s="33" t="str">
        <x:v>Canal permanente; depende de programação</x:v>
      </x:c>
      <x:c r="M4" s="33" t="str">
        <x:v>Alta</x:v>
      </x:c>
      <x:c r="N4" s="33" t="str">
        <x:v>18–36 meses</x:v>
      </x:c>
      <x:c r="O4" s="33" t="str">
        <x:v>Projeto transformacional; estudos; salvaguardas; gênero; MRV; no-objection</x:v>
      </x:c>
      <x:c r="P4" s="33" t="str">
        <x:v>https://www.greenclimate.fund/partners/accredited-entities</x:v>
      </x:c>
      <x:c r="Q4" s="49" t="n">
        <x:v>46241</x:v>
      </x:c>
    </x:row>
    <x:row r="5" ht="78" customHeight="1">
      <x:c r="A5" s="34" t="n">
        <x:v>2</x:v>
      </x:c>
      <x:c r="B5" s="34" t="str">
        <x:v>Global Environment Facility (GEF)</x:v>
      </x:c>
      <x:c r="C5" s="34" t="str">
        <x:v>Fundo multilateral</x:v>
      </x:c>
      <x:c r="D5" s="34" t="str">
        <x:v>Doação com cofinanciamento</x:v>
      </x:c>
      <x:c r="E5" s="34" t="str">
        <x:v>Indireto</x:v>
      </x:c>
      <x:c r="F5" s="34" t="str">
        <x:v>Preparação e investimento</x:v>
      </x:c>
      <x:c r="G5" s="34" t="str">
        <x:v>Biodiversidade; cidades; resíduos; florestas; químicos</x:v>
      </x:c>
      <x:c r="H5" s="34" t="str">
        <x:v>Nacional</x:v>
      </x:c>
      <x:c r="I5" s="34" t="str">
        <x:v>Definida por ciclo/projeto</x:v>
      </x:c>
      <x:c r="J5" s="34" t="str">
        <x:v>Cofinanciamento relevante</x:v>
      </x:c>
      <x:c r="K5" s="34" t="str">
        <x:v>Agência GEF + ponto focal nacional + programa-país</x:v>
      </x:c>
      <x:c r="L5" s="34" t="str">
        <x:v>Programação por ciclos e projetos</x:v>
      </x:c>
      <x:c r="M5" s="34" t="str">
        <x:v>Alta</x:v>
      </x:c>
      <x:c r="N5" s="34" t="str">
        <x:v>18–36 meses</x:v>
      </x:c>
      <x:c r="O5" s="34" t="str">
        <x:v>Benefício ambiental global; agência implementadora; indicadores</x:v>
      </x:c>
      <x:c r="P5" s="34" t="str">
        <x:v>https://www.thegef.org/newsroom/feature-stories/resilient-infrastructure-brazils-cities-grows-roots</x:v>
      </x:c>
      <x:c r="Q5" s="50" t="n">
        <x:v>46241</x:v>
      </x:c>
    </x:row>
    <x:row r="6" ht="78" customHeight="1">
      <x:c r="A6" s="34" t="n">
        <x:v>3</x:v>
      </x:c>
      <x:c r="B6" s="34" t="str">
        <x:v>Adaptation Fund</x:v>
      </x:c>
      <x:c r="C6" s="34" t="str">
        <x:v>Fundo multilateral</x:v>
      </x:c>
      <x:c r="D6" s="34" t="str">
        <x:v>Doação</x:v>
      </x:c>
      <x:c r="E6" s="34" t="str">
        <x:v>Indireto</x:v>
      </x:c>
      <x:c r="F6" s="34" t="str">
        <x:v>Preparação e investimento</x:v>
      </x:c>
      <x:c r="G6" s="34" t="str">
        <x:v>Adaptação; resiliência; comunidades vulneráveis</x:v>
      </x:c>
      <x:c r="H6" s="34" t="str">
        <x:v>Nacional e regional</x:v>
      </x:c>
      <x:c r="I6" s="34" t="str">
        <x:v>Definida pela janela vigente</x:v>
      </x:c>
      <x:c r="J6" s="34" t="str">
        <x:v>Pode exigir contribuição complementar</x:v>
      </x:c>
      <x:c r="K6" s="34" t="str">
        <x:v>Entidade Implementadora acreditada + endosso da autoridade designada</x:v>
      </x:c>
      <x:c r="L6" s="34" t="str">
        <x:v>Canal permanente por entidades</x:v>
      </x:c>
      <x:c r="M6" s="34" t="str">
        <x:v>Média-Alta</x:v>
      </x:c>
      <x:c r="N6" s="34" t="str">
        <x:v>18–30 meses</x:v>
      </x:c>
      <x:c r="O6" s="34" t="str">
        <x:v>Adicionalidade climática; vulnerabilidade; salvaguardas; endosso nacional</x:v>
      </x:c>
      <x:c r="P6" s="34" t="str">
        <x:v>https://www.adaptation-fund.org/apply-funding/designated-authorities/</x:v>
      </x:c>
      <x:c r="Q6" s="50" t="n">
        <x:v>46241</x:v>
      </x:c>
    </x:row>
    <x:row r="7" ht="78" customHeight="1">
      <x:c r="A7" s="34" t="n">
        <x:v>4</x:v>
      </x:c>
      <x:c r="B7" s="34" t="str">
        <x:v>Fundo Amazônia / BNDES</x:v>
      </x:c>
      <x:c r="C7" s="34" t="str">
        <x:v>Doações internacionais administradas no Brasil</x:v>
      </x:c>
      <x:c r="D7" s="34" t="str">
        <x:v>Não reembolsável</x:v>
      </x:c>
      <x:c r="E7" s="34" t="str">
        <x:v>Direto ou via chamada/parceiro</x:v>
      </x:c>
      <x:c r="F7" s="34" t="str">
        <x:v>Investimento</x:v>
      </x:c>
      <x:c r="G7" s="34" t="str">
        <x:v>Florestas; fogo; fiscalização; bioeconomia; recuperação</x:v>
      </x:c>
      <x:c r="H7" s="34" t="str">
        <x:v>Amazônia Legal; temas específicos fora dela</x:v>
      </x:c>
      <x:c r="I7" s="34" t="str">
        <x:v>Em regra, apoio mínimo nacional de R$ 5 milhões nas diretrizes recentes</x:v>
      </x:c>
      <x:c r="J7" s="34" t="str">
        <x:v>Financeira ou não financeira</x:v>
      </x:c>
      <x:c r="K7" s="34" t="str">
        <x:v>BNDES/Fundo Amazônia conforme diretrizes e chamadas</x:v>
      </x:c>
      <x:c r="L7" s="34" t="str">
        <x:v>Ativo; observar focos e chamadas</x:v>
      </x:c>
      <x:c r="M7" s="34" t="str">
        <x:v>Muito alta se elegível</x:v>
      </x:c>
      <x:c r="N7" s="34" t="str">
        <x:v>12–30 meses</x:v>
      </x:c>
      <x:c r="O7" s="34" t="str">
        <x:v>Adicionalidade; escala; indicadores; transparência; sustentabilidade</x:v>
      </x:c>
      <x:c r="P7" s="34" t="str">
        <x:v>https://www.fundoamazonia.gov.br/pt/home/</x:v>
      </x:c>
      <x:c r="Q7" s="50" t="n">
        <x:v>46241</x:v>
      </x:c>
    </x:row>
    <x:row r="8" ht="78" customHeight="1">
      <x:c r="A8" s="34" t="n">
        <x:v>5</x:v>
      </x:c>
      <x:c r="B8" s="34" t="str">
        <x:v>Banco Interamericano de Desenvolvimento (BID)</x:v>
      </x:c>
      <x:c r="C8" s="34" t="str">
        <x:v>Banco multilateral</x:v>
      </x:c>
      <x:c r="D8" s="34" t="str">
        <x:v>Crédito e cooperação técnica</x:v>
      </x:c>
      <x:c r="E8" s="34" t="str">
        <x:v>Direto estruturado</x:v>
      </x:c>
      <x:c r="F8" s="34" t="str">
        <x:v>Preparação e investimento</x:v>
      </x:c>
      <x:c r="G8" s="34" t="str">
        <x:v>Saneamento; mobilidade; drenagem; gestão; energia</x:v>
      </x:c>
      <x:c r="H8" s="34" t="str">
        <x:v>Nacional</x:v>
      </x:c>
      <x:c r="I8" s="34" t="str">
        <x:v>Definida por operação</x:v>
      </x:c>
      <x:c r="J8" s="34" t="str">
        <x:v>Contrapartida municipal normalmente requerida</x:v>
      </x:c>
      <x:c r="K8" s="34" t="str">
        <x:v>Banco + COFIEX + STN/garantia quando aplicável</x:v>
      </x:c>
      <x:c r="L8" s="34" t="str">
        <x:v>Ativo</x:v>
      </x:c>
      <x:c r="M8" s="34" t="str">
        <x:v>Alta</x:v>
      </x:c>
      <x:c r="N8" s="34" t="str">
        <x:v>24–48 meses</x:v>
      </x:c>
      <x:c r="O8" s="34" t="str">
        <x:v>Capacidade fiscal; estudos; aquisições; salvaguardas; UGP</x:v>
      </x:c>
      <x:c r="P8" s="34" t="str">
        <x:v>https://www.iadb.org/pt-br/quem-somos/representacoes-por-pais/brasil</x:v>
      </x:c>
      <x:c r="Q8" s="50" t="n">
        <x:v>46241</x:v>
      </x:c>
    </x:row>
    <x:row r="9" ht="78" customHeight="1">
      <x:c r="A9" s="34" t="n">
        <x:v>6</x:v>
      </x:c>
      <x:c r="B9" s="34" t="str">
        <x:v>CAF — Banco de Desenvolvimento da América Latina e Caribe</x:v>
      </x:c>
      <x:c r="C9" s="34" t="str">
        <x:v>Banco multilateral</x:v>
      </x:c>
      <x:c r="D9" s="34" t="str">
        <x:v>Crédito e cooperação técnica</x:v>
      </x:c>
      <x:c r="E9" s="34" t="str">
        <x:v>Direto estruturado</x:v>
      </x:c>
      <x:c r="F9" s="34" t="str">
        <x:v>Preparação e investimento</x:v>
      </x:c>
      <x:c r="G9" s="34" t="str">
        <x:v>Desenvolvimento urbano; mobilidade; drenagem; resiliência</x:v>
      </x:c>
      <x:c r="H9" s="34" t="str">
        <x:v>Nacional</x:v>
      </x:c>
      <x:c r="I9" s="34" t="str">
        <x:v>Operações municipais anteriores de dezenas de milhões de USD</x:v>
      </x:c>
      <x:c r="J9" s="34" t="str">
        <x:v>Contrapartida municipal</x:v>
      </x:c>
      <x:c r="K9" s="34" t="str">
        <x:v>CAF + COFIEX + rito de crédito externo</x:v>
      </x:c>
      <x:c r="L9" s="34" t="str">
        <x:v>Ativo</x:v>
      </x:c>
      <x:c r="M9" s="34" t="str">
        <x:v>Alta</x:v>
      </x:c>
      <x:c r="N9" s="34" t="str">
        <x:v>20–42 meses</x:v>
      </x:c>
      <x:c r="O9" s="34" t="str">
        <x:v>Capacidade fiscal; projeto integrado; UGP; salvaguardas</x:v>
      </x:c>
      <x:c r="P9" s="34" t="str">
        <x:v>https://www.caf.com/pt/presente/noticias/financiamento-de-us-105-milhoes-para-desenvolvimento-urbano-de-santos/</x:v>
      </x:c>
      <x:c r="Q9" s="50" t="n">
        <x:v>46241</x:v>
      </x:c>
    </x:row>
    <x:row r="10" ht="78" customHeight="1">
      <x:c r="A10" s="34" t="n">
        <x:v>7</x:v>
      </x:c>
      <x:c r="B10" s="34" t="str">
        <x:v>Banco Mundial (IBRD)</x:v>
      </x:c>
      <x:c r="C10" s="34" t="str">
        <x:v>Banco multilateral</x:v>
      </x:c>
      <x:c r="D10" s="34" t="str">
        <x:v>Crédito e assistência técnica</x:v>
      </x:c>
      <x:c r="E10" s="34" t="str">
        <x:v>Direto ou intermediado</x:v>
      </x:c>
      <x:c r="F10" s="34" t="str">
        <x:v>Preparação e investimento</x:v>
      </x:c>
      <x:c r="G10" s="34" t="str">
        <x:v>Infraestrutura; água; resíduos; adaptação; gestão pública</x:v>
      </x:c>
      <x:c r="H10" s="34" t="str">
        <x:v>Nacional</x:v>
      </x:c>
      <x:c r="I10" s="34" t="str">
        <x:v>Definida por operação</x:v>
      </x:c>
      <x:c r="J10" s="34" t="str">
        <x:v>Contrapartida e capacidade de endividamento</x:v>
      </x:c>
      <x:c r="K10" s="34" t="str">
        <x:v>Banco + União/ente + COFIEX conforme estrutura</x:v>
      </x:c>
      <x:c r="L10" s="34" t="str">
        <x:v>Ativo</x:v>
      </x:c>
      <x:c r="M10" s="34" t="str">
        <x:v>Alta</x:v>
      </x:c>
      <x:c r="N10" s="34" t="str">
        <x:v>24–48 meses</x:v>
      </x:c>
      <x:c r="O10" s="34" t="str">
        <x:v>Estudos econômicos; aquisições; salvaguardas; fiscal</x:v>
      </x:c>
      <x:c r="P10" s="34" t="str">
        <x:v>https://www.worldbank.org/pt/country/brazil</x:v>
      </x:c>
      <x:c r="Q10" s="50" t="n">
        <x:v>46241</x:v>
      </x:c>
    </x:row>
    <x:row r="11" ht="78" customHeight="1">
      <x:c r="A11" s="34" t="n">
        <x:v>8</x:v>
      </x:c>
      <x:c r="B11" s="34" t="str">
        <x:v>New Development Bank (NDB)</x:v>
      </x:c>
      <x:c r="C11" s="34" t="str">
        <x:v>Banco multilateral BRICS</x:v>
      </x:c>
      <x:c r="D11" s="34" t="str">
        <x:v>Crédito</x:v>
      </x:c>
      <x:c r="E11" s="34" t="str">
        <x:v>Direto ou intermediado</x:v>
      </x:c>
      <x:c r="F11" s="34" t="str">
        <x:v>Investimento</x:v>
      </x:c>
      <x:c r="G11" s="34" t="str">
        <x:v>Infraestrutura urbana; água; saneamento; transporte</x:v>
      </x:c>
      <x:c r="H11" s="34" t="str">
        <x:v>Nacional</x:v>
      </x:c>
      <x:c r="I11" s="34" t="str">
        <x:v>Aracaju: US$ 84 mi + US$ 21 mi de contrapartida</x:v>
      </x:c>
      <x:c r="J11" s="34" t="str">
        <x:v>Contrapartida municipal</x:v>
      </x:c>
      <x:c r="K11" s="34" t="str">
        <x:v>NDB + COFIEX + garantia da União quando exigida</x:v>
      </x:c>
      <x:c r="L11" s="34" t="str">
        <x:v>Ativo</x:v>
      </x:c>
      <x:c r="M11" s="34" t="str">
        <x:v>Alta para projetos maduros</x:v>
      </x:c>
      <x:c r="N11" s="34" t="str">
        <x:v>24–48 meses</x:v>
      </x:c>
      <x:c r="O11" s="34" t="str">
        <x:v>Escala; capacidade fiscal; contragarantia; projeto executivo</x:v>
      </x:c>
      <x:c r="P11" s="34" t="str">
        <x:v>https://www.ndb.int/news/new-development-bank-and-municipality-of-aracaju-sign-loan-agreement-for-urban-and-sustainable-infrastructure-program-aracaju-city-of-the-future/</x:v>
      </x:c>
      <x:c r="Q11" s="50" t="n">
        <x:v>46241</x:v>
      </x:c>
    </x:row>
    <x:row r="12" ht="78" customHeight="1">
      <x:c r="A12" s="34" t="n">
        <x:v>9</x:v>
      </x:c>
      <x:c r="B12" s="34" t="str">
        <x:v>European Investment Bank (EIB)</x:v>
      </x:c>
      <x:c r="C12" s="34" t="str">
        <x:v>Banco da União Europeia</x:v>
      </x:c>
      <x:c r="D12" s="34" t="str">
        <x:v>Crédito e advisory</x:v>
      </x:c>
      <x:c r="E12" s="34" t="str">
        <x:v>Geralmente intermediado/parceria</x:v>
      </x:c>
      <x:c r="F12" s="34" t="str">
        <x:v>Preparação e investimento</x:v>
      </x:c>
      <x:c r="G12" s="34" t="str">
        <x:v>Energia; saneamento; mobilidade; infraestrutura climática</x:v>
      </x:c>
      <x:c r="H12" s="34" t="str">
        <x:v>Nacional</x:v>
      </x:c>
      <x:c r="I12" s="34" t="str">
        <x:v>Definida por operação ou linha intermediada</x:v>
      </x:c>
      <x:c r="J12" s="34" t="str">
        <x:v>Conforme operação</x:v>
      </x:c>
      <x:c r="K12" s="34" t="str">
        <x:v>EIB + banco parceiro/programa; ou estrutura soberana</x:v>
      </x:c>
      <x:c r="L12" s="34" t="str">
        <x:v>Ativo</x:v>
      </x:c>
      <x:c r="M12" s="34" t="str">
        <x:v>Média-Alta</x:v>
      </x:c>
      <x:c r="N12" s="34" t="str">
        <x:v>18–42 meses</x:v>
      </x:c>
      <x:c r="O12" s="34" t="str">
        <x:v>Bancabilidade; clima; padrões ambientais e sociais</x:v>
      </x:c>
      <x:c r="P12" s="34" t="str">
        <x:v>https://www.eib.org/en/projects/country/brazil</x:v>
      </x:c>
      <x:c r="Q12" s="50" t="n">
        <x:v>46241</x:v>
      </x:c>
    </x:row>
    <x:row r="13" ht="78" customHeight="1">
      <x:c r="A13" s="34" t="n">
        <x:v>10</x:v>
      </x:c>
      <x:c r="B13" s="34" t="str">
        <x:v>Agence Française de Développement (AFD)</x:v>
      </x:c>
      <x:c r="C13" s="34" t="str">
        <x:v>Agência pública francesa</x:v>
      </x:c>
      <x:c r="D13" s="34" t="str">
        <x:v>Crédito e cooperação técnica</x:v>
      </x:c>
      <x:c r="E13" s="34" t="str">
        <x:v>Direto estruturado ou intermediado</x:v>
      </x:c>
      <x:c r="F13" s="34" t="str">
        <x:v>Preparação e investimento</x:v>
      </x:c>
      <x:c r="G13" s="34" t="str">
        <x:v>Desenvolvimento urbano; clima; água; inclusão</x:v>
      </x:c>
      <x:c r="H13" s="34" t="str">
        <x:v>Nacional</x:v>
      </x:c>
      <x:c r="I13" s="34" t="str">
        <x:v>Definida por operação; histórico via BDMG</x:v>
      </x:c>
      <x:c r="J13" s="34" t="str">
        <x:v>Conforme operação</x:v>
      </x:c>
      <x:c r="K13" s="34" t="str">
        <x:v>AFD ou banco de desenvolvimento parceiro</x:v>
      </x:c>
      <x:c r="L13" s="34" t="str">
        <x:v>Ativo</x:v>
      </x:c>
      <x:c r="M13" s="34" t="str">
        <x:v>Média-Alta</x:v>
      </x:c>
      <x:c r="N13" s="34" t="str">
        <x:v>18–42 meses</x:v>
      </x:c>
      <x:c r="O13" s="34" t="str">
        <x:v>Clima; inclusão; capacidade financeira; padrões socioambientais</x:v>
      </x:c>
      <x:c r="P13" s="34" t="str">
        <x:v>https://www.afd.fr/en/page-region-pays/brazil</x:v>
      </x:c>
      <x:c r="Q13" s="50" t="n">
        <x:v>46241</x:v>
      </x:c>
    </x:row>
    <x:row r="14" ht="78" customHeight="1">
      <x:c r="A14" s="34" t="n">
        <x:v>11</x:v>
      </x:c>
      <x:c r="B14" s="34" t="str">
        <x:v>KfW Development Bank / GIZ</x:v>
      </x:c>
      <x:c r="C14" s="34" t="str">
        <x:v>Cooperação alemã</x:v>
      </x:c>
      <x:c r="D14" s="34" t="str">
        <x:v>Crédito concessional e assistência técnica</x:v>
      </x:c>
      <x:c r="E14" s="34" t="str">
        <x:v>Intermediado/programático</x:v>
      </x:c>
      <x:c r="F14" s="34" t="str">
        <x:v>Preparação e investimento</x:v>
      </x:c>
      <x:c r="G14" s="34" t="str">
        <x:v>Energia; florestas; cidades; biodiversidade</x:v>
      </x:c>
      <x:c r="H14" s="34" t="str">
        <x:v>Nacional ou territórios definidos</x:v>
      </x:c>
      <x:c r="I14" s="34" t="str">
        <x:v>Definida por programa bilateral</x:v>
      </x:c>
      <x:c r="J14" s="34" t="str">
        <x:v>Conforme programa</x:v>
      </x:c>
      <x:c r="K14" s="34" t="str">
        <x:v>Cooperação bilateral + instituições executoras brasileiras</x:v>
      </x:c>
      <x:c r="L14" s="34" t="str">
        <x:v>Programático</x:v>
      </x:c>
      <x:c r="M14" s="34" t="str">
        <x:v>Média</x:v>
      </x:c>
      <x:c r="N14" s="34" t="str">
        <x:v>18–36 meses</x:v>
      </x:c>
      <x:c r="O14" s="34" t="str">
        <x:v>Alinhamento ao programa bilateral; parceiro executor</x:v>
      </x:c>
      <x:c r="P14" s="34" t="str">
        <x:v>https://www.kfw-entwicklungsbank.de/International-financing/KfW-Development-Bank/Local-presence/Latin-America-and-the-Caribbean/Brazil/</x:v>
      </x:c>
      <x:c r="Q14" s="50" t="n">
        <x:v>46241</x:v>
      </x:c>
    </x:row>
    <x:row r="15" ht="78" customHeight="1">
      <x:c r="A15" s="34" t="n">
        <x:v>12</x:v>
      </x:c>
      <x:c r="B15" s="34" t="str">
        <x:v>International Climate Initiative (IKI)</x:v>
      </x:c>
      <x:c r="C15" s="34" t="str">
        <x:v>Governo da Alemanha</x:v>
      </x:c>
      <x:c r="D15" s="34" t="str">
        <x:v>Doação e assistência técnica</x:v>
      </x:c>
      <x:c r="E15" s="34" t="str">
        <x:v>Consórcio/chamada</x:v>
      </x:c>
      <x:c r="F15" s="34" t="str">
        <x:v>Preparação e implementação</x:v>
      </x:c>
      <x:c r="G15" s="34" t="str">
        <x:v>Mitigação; adaptação; biodiversidade; cidades</x:v>
      </x:c>
      <x:c r="H15" s="34" t="str">
        <x:v>Brasil conforme chamada</x:v>
      </x:c>
      <x:c r="I15" s="34" t="str">
        <x:v>Country Call 2024: € 8–30 mi por projeto</x:v>
      </x:c>
      <x:c r="J15" s="34" t="str">
        <x:v>Parcerias e contribuição conforme chamada</x:v>
      </x:c>
      <x:c r="K15" s="34" t="str">
        <x:v>Consórcio liderado por organização elegível; município como parceiro</x:v>
      </x:c>
      <x:c r="L15" s="34" t="str">
        <x:v>Chamadas periódicas; Country Call 2024 encerrada</x:v>
      </x:c>
      <x:c r="M15" s="34" t="str">
        <x:v>Média-Alta para consórcios</x:v>
      </x:c>
      <x:c r="N15" s="34" t="str">
        <x:v>12–30 meses</x:v>
      </x:c>
      <x:c r="O15" s="34" t="str">
        <x:v>Consórcio; impacto; replicabilidade; governança; clima/biodiversidade</x:v>
      </x:c>
      <x:c r="P15" s="34" t="str">
        <x:v>https://www.international-climate-initiative.com/en/find-funding/country-call/country-call-brazil/</x:v>
      </x:c>
      <x:c r="Q15" s="50" t="n">
        <x:v>46241</x:v>
      </x:c>
    </x:row>
    <x:row r="16" ht="78" customHeight="1">
      <x:c r="A16" s="34" t="n">
        <x:v>13</x:v>
      </x:c>
      <x:c r="B16" s="34" t="str">
        <x:v>Mitigation Action Facility</x:v>
      </x:c>
      <x:c r="C16" s="34" t="str">
        <x:v>Programa multi-doador</x:v>
      </x:c>
      <x:c r="D16" s="34" t="str">
        <x:v>Doação, instrumentos concessional e TA</x:v>
      </x:c>
      <x:c r="E16" s="34" t="str">
        <x:v>Indireto/consórcio</x:v>
      </x:c>
      <x:c r="F16" s="34" t="str">
        <x:v>Preparação e implementação</x:v>
      </x:c>
      <x:c r="G16" s="34" t="str">
        <x:v>Energia; transporte; indústria; mecanismos financeiros</x:v>
      </x:c>
      <x:c r="H16" s="34" t="str">
        <x:v>Nacional; projetos podem incluir cidades</x:v>
      </x:c>
      <x:c r="I16" s="34" t="str">
        <x:v>Projetos anteriores na faixa de dezenas de milhões de EUR</x:v>
      </x:c>
      <x:c r="J16" s="34" t="str">
        <x:v>Alavancagem financeira esperada</x:v>
      </x:c>
      <x:c r="K16" s="34" t="str">
        <x:v>Parceiro de projeto elegível + governo/atores setoriais</x:v>
      </x:c>
      <x:c r="L16" s="34" t="str">
        <x:v>Chamada 2026 em andamento após fase de conceitos</x:v>
      </x:c>
      <x:c r="M16" s="34" t="str">
        <x:v>Média</x:v>
      </x:c>
      <x:c r="N16" s="34" t="str">
        <x:v>18–36 meses</x:v>
      </x:c>
      <x:c r="O16" s="34" t="str">
        <x:v>Transformação setorial; mitigação relevante; alavancagem; MRV</x:v>
      </x:c>
      <x:c r="P16" s="34" t="str">
        <x:v>https://mitigation-action.org/news-events/</x:v>
      </x:c>
      <x:c r="Q16" s="50" t="n">
        <x:v>46241</x:v>
      </x:c>
    </x:row>
    <x:row r="17" ht="78" customHeight="1">
      <x:c r="A17" s="34" t="n">
        <x:v>14</x:v>
      </x:c>
      <x:c r="B17" s="34" t="str">
        <x:v>City Climate Finance Gap Fund</x:v>
      </x:c>
      <x:c r="C17" s="34" t="str">
        <x:v>Multi-doador; BM/EIB</x:v>
      </x:c>
      <x:c r="D17" s="34" t="str">
        <x:v>Assistência técnica não reembolsável</x:v>
      </x:c>
      <x:c r="E17" s="34" t="str">
        <x:v>Direto para apoio técnico</x:v>
      </x:c>
      <x:c r="F17" s="34" t="str">
        <x:v>Ideia a pré-viabilidade</x:v>
      </x:c>
      <x:c r="G17" s="34" t="str">
        <x:v>Infraestrutura urbana de baixo carbono e resiliente</x:v>
      </x:c>
      <x:c r="H17" s="34" t="str">
        <x:v>Cidades elegíveis; já apoiou Campinas</x:v>
      </x:c>
      <x:c r="I17" s="34" t="str">
        <x:v>Não financia a obra; apoia preparação inicial</x:v>
      </x:c>
      <x:c r="J17" s="34" t="str">
        <x:v>Não necessariamente financeira</x:v>
      </x:c>
      <x:c r="K17" s="34" t="str">
        <x:v>Manifestação de interesse da cidade/entidade indicada</x:v>
      </x:c>
      <x:c r="L17" s="34" t="str">
        <x:v>Ativo</x:v>
      </x:c>
      <x:c r="M17" s="34" t="str">
        <x:v>Muito alta para projeto inicial</x:v>
      </x:c>
      <x:c r="N17" s="34" t="str">
        <x:v>6–18 meses</x:v>
      </x:c>
      <x:c r="O17" s="34" t="str">
        <x:v>Compromisso municipal; potencial climático; projeto em estágio inicial</x:v>
      </x:c>
      <x:c r="P17" s="34" t="str">
        <x:v>https://www.citygapfund.org/</x:v>
      </x:c>
      <x:c r="Q17" s="50" t="n">
        <x:v>46241</x:v>
      </x:c>
    </x:row>
    <x:row r="18" ht="78" customHeight="1">
      <x:c r="A18" s="34" t="n">
        <x:v>15</x:v>
      </x:c>
      <x:c r="B18" s="34" t="str">
        <x:v>C40 Cities Finance Facility (CFF)</x:v>
      </x:c>
      <x:c r="C18" s="34" t="str">
        <x:v>C40/GIZ e parceiros</x:v>
      </x:c>
      <x:c r="D18" s="34" t="str">
        <x:v>Assistência técnica</x:v>
      </x:c>
      <x:c r="E18" s="34" t="str">
        <x:v>Seleção competitiva</x:v>
      </x:c>
      <x:c r="F18" s="34" t="str">
        <x:v>Preparação para investimento</x:v>
      </x:c>
      <x:c r="G18" s="34" t="str">
        <x:v>Mobilidade; energia; resíduos; adaptação urbana</x:v>
      </x:c>
      <x:c r="H18" s="34" t="str">
        <x:v>Cidades; histórico em Curitiba</x:v>
      </x:c>
      <x:c r="I18" s="34" t="str">
        <x:v>Não financia a obra; estrutura projeto e capacidade</x:v>
      </x:c>
      <x:c r="J18" s="34" t="str">
        <x:v>Compromisso e equipe municipal</x:v>
      </x:c>
      <x:c r="K18" s="34" t="str">
        <x:v>Chamada/seleção CFF e parceria com cidade</x:v>
      </x:c>
      <x:c r="L18" s="34" t="str">
        <x:v>Programático; verificar nova seleção</x:v>
      </x:c>
      <x:c r="M18" s="34" t="str">
        <x:v>Alta para cidades elegíveis</x:v>
      </x:c>
      <x:c r="N18" s="34" t="str">
        <x:v>9–24 meses</x:v>
      </x:c>
      <x:c r="O18" s="34" t="str">
        <x:v>Ambição climática; inclusão; escala; compromisso político</x:v>
      </x:c>
      <x:c r="P18" s="34" t="str">
        <x:v>https://c40cff.org/</x:v>
      </x:c>
      <x:c r="Q18" s="50" t="n">
        <x:v>46241</x:v>
      </x:c>
    </x:row>
    <x:row r="19" ht="78" customHeight="1">
      <x:c r="A19" s="34" t="n">
        <x:v>16</x:v>
      </x:c>
      <x:c r="B19" s="34" t="str">
        <x:v>CCFLA Brazil Local Hub</x:v>
      </x:c>
      <x:c r="C19" s="34" t="str">
        <x:v>Aliança internacional</x:v>
      </x:c>
      <x:c r="D19" s="34" t="str">
        <x:v>Apoio técnico e conexão financeira</x:v>
      </x:c>
      <x:c r="E19" s="34" t="str">
        <x:v>Direto/rede</x:v>
      </x:c>
      <x:c r="F19" s="34" t="str">
        <x:v>Preparação e matchmaking</x:v>
      </x:c>
      <x:c r="G19" s="34" t="str">
        <x:v>Projetos urbanos resilientes e de baixo carbono</x:v>
      </x:c>
      <x:c r="H19" s="34" t="str">
        <x:v>Brasil</x:v>
      </x:c>
      <x:c r="I19" s="34" t="str">
        <x:v>Sem valor de obra; conexão e estruturação</x:v>
      </x:c>
      <x:c r="J19" s="34" t="str">
        <x:v>Compromisso municipal</x:v>
      </x:c>
      <x:c r="K19" s="34" t="str">
        <x:v>Hub, parceiros técnicos e chamadas/eventos</x:v>
      </x:c>
      <x:c r="L19" s="34" t="str">
        <x:v>Ativo</x:v>
      </x:c>
      <x:c r="M19" s="34" t="str">
        <x:v>Alta para formação de pipeline</x:v>
      </x:c>
      <x:c r="N19" s="34" t="str">
        <x:v>3–18 meses</x:v>
      </x:c>
      <x:c r="O19" s="34" t="str">
        <x:v>Projeto climático local; dados; participação em pipeline</x:v>
      </x:c>
      <x:c r="P19" s="34" t="str">
        <x:v>https://citiesclimatefinance.org/brazil-hub</x:v>
      </x:c>
      <x:c r="Q19" s="50" t="n">
        <x:v>46241</x:v>
      </x:c>
    </x:row>
    <x:row r="20" ht="78" customHeight="1">
      <x:c r="A20" s="34" t="n">
        <x:v>17</x:v>
      </x:c>
      <x:c r="B20" s="34" t="str">
        <x:v>FONPLATA</x:v>
      </x:c>
      <x:c r="C20" s="34" t="str">
        <x:v>Banco multilateral regional</x:v>
      </x:c>
      <x:c r="D20" s="34" t="str">
        <x:v>Crédito</x:v>
      </x:c>
      <x:c r="E20" s="34" t="str">
        <x:v>Direto ou intermediado</x:v>
      </x:c>
      <x:c r="F20" s="34" t="str">
        <x:v>Investimento</x:v>
      </x:c>
      <x:c r="G20" s="34" t="str">
        <x:v>Infraestrutura sustentável; integração; cidades</x:v>
      </x:c>
      <x:c r="H20" s="34" t="str">
        <x:v>Nacional, com foco regional</x:v>
      </x:c>
      <x:c r="I20" s="34" t="str">
        <x:v>Definida por operação</x:v>
      </x:c>
      <x:c r="J20" s="34" t="str">
        <x:v>Contrapartida e rito fiscal</x:v>
      </x:c>
      <x:c r="K20" s="34" t="str">
        <x:v>Banco + COFIEX/garantia conforme estrutura</x:v>
      </x:c>
      <x:c r="L20" s="34" t="str">
        <x:v>Ativo</x:v>
      </x:c>
      <x:c r="M20" s="34" t="str">
        <x:v>Média-Alta</x:v>
      </x:c>
      <x:c r="N20" s="34" t="str">
        <x:v>20–42 meses</x:v>
      </x:c>
      <x:c r="O20" s="34" t="str">
        <x:v>Capacidade fiscal; escala; integração regional; salvaguardas</x:v>
      </x:c>
      <x:c r="P20" s="34" t="str">
        <x:v>https://www.fonplata.org/pt/</x:v>
      </x:c>
      <x:c r="Q20" s="50" t="n">
        <x:v>46241</x:v>
      </x:c>
    </x:row>
    <x:row r="21" ht="78" customHeight="1">
      <x:c r="A21" s="35" t="n">
        <x:v>18</x:v>
      </x:c>
      <x:c r="B21" s="35" t="str">
        <x:v>Linhas internacionais via bancos regionais (BRDE/BDMG)</x:v>
      </x:c>
      <x:c r="C21" s="35" t="str">
        <x:v>Intermediação nacional de NDB/EIB/AFD e outros</x:v>
      </x:c>
      <x:c r="D21" s="35" t="str">
        <x:v>Crédito repassado</x:v>
      </x:c>
      <x:c r="E21" s="35" t="str">
        <x:v>Direto com banco regional</x:v>
      </x:c>
      <x:c r="F21" s="35" t="str">
        <x:v>Investimento</x:v>
      </x:c>
      <x:c r="G21" s="35" t="str">
        <x:v>Energia limpa; cidades; saneamento; infraestrutura</x:v>
      </x:c>
      <x:c r="H21" s="35" t="str">
        <x:v>Regiões/estados atendidos pelo banco</x:v>
      </x:c>
      <x:c r="I21" s="35" t="str">
        <x:v>Conforme linha e porte; atende projetos subnacionais</x:v>
      </x:c>
      <x:c r="J21" s="35" t="str">
        <x:v>Conforme linha</x:v>
      </x:c>
      <x:c r="K21" s="35" t="str">
        <x:v>Banco regional; em alguns casos sem contratação externa direta pelo município</x:v>
      </x:c>
      <x:c r="L21" s="35" t="str">
        <x:v>Ativo conforme linha</x:v>
      </x:c>
      <x:c r="M21" s="35" t="str">
        <x:v>Muito alta para municípios pequenos/médios</x:v>
      </x:c>
      <x:c r="N21" s="35" t="str">
        <x:v>6–24 meses</x:v>
      </x:c>
      <x:c r="O21" s="35" t="str">
        <x:v>Cadastro; capacidade de pagamento; projeto e garantias da linha</x:v>
      </x:c>
      <x:c r="P21" s="35" t="str">
        <x:v>https://www.ndb.int/project/bdmg-infrastructure-and-sustainable-development-financing-project/</x:v>
      </x:c>
      <x:c r="Q21" s="51" t="n">
        <x:v>46241</x:v>
      </x:c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410c57f02f1f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7" hidden="0" customWidth="1"/>
    <x:col min="8" max="8" width="45" hidden="0" customWidth="1"/>
  </x:cols>
  <x:sheetData>
    <x:row r="1">
      <x:c r="A1" s="28" t="str">
        <x:v>Matriz documental por rota de captação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 ht="42" customHeight="1">
      <x:c r="A3" s="32" t="str">
        <x:v>ID</x:v>
      </x:c>
      <x:c r="B3" s="32" t="str">
        <x:v>Documento / evidência</x:v>
      </x:c>
      <x:c r="C3" s="32" t="str">
        <x:v>Doação / fundo</x:v>
      </x:c>
      <x:c r="D3" s="32" t="str">
        <x:v>Assistência técnica</x:v>
      </x:c>
      <x:c r="E3" s="32" t="str">
        <x:v>Crédito externo</x:v>
      </x:c>
      <x:c r="F3" s="32" t="str">
        <x:v>Prioridade</x:v>
      </x:c>
      <x:c r="G3" s="32" t="str">
        <x:v>Responsável sugerido</x:v>
      </x:c>
      <x:c r="H3" s="32" t="str">
        <x:v>Observação para o CarbonOS</x:v>
      </x:c>
    </x:row>
    <x:row r="4" ht="48" customHeight="1">
      <x:c r="A4" s="33" t="n">
        <x:v>1</x:v>
      </x:c>
      <x:c r="B4" s="33" t="str">
        <x:v>Ofício de manifestação de interesse</x:v>
      </x:c>
      <x:c r="C4" s="33" t="str">
        <x:v>Sim</x:v>
      </x:c>
      <x:c r="D4" s="33" t="str">
        <x:v>Sim</x:v>
      </x:c>
      <x:c r="E4" s="33" t="str">
        <x:v>Sim</x:v>
      </x:c>
      <x:c r="F4" s="33" t="str">
        <x:v>Obrigatório</x:v>
      </x:c>
      <x:c r="G4" s="33" t="str">
        <x:v>Gabinete/Planejamento</x:v>
      </x:c>
      <x:c r="H4" s="33" t="str">
        <x:v>Registrar autoridade signatária e protocolo</x:v>
      </x:c>
    </x:row>
    <x:row r="5" ht="48" customHeight="1">
      <x:c r="A5" s="34" t="n">
        <x:v>2</x:v>
      </x:c>
      <x:c r="B5" s="34" t="str">
        <x:v>Lei municipal autorizativa</x:v>
      </x:c>
      <x:c r="C5" s="34" t="str">
        <x:v>Conforme edital</x:v>
      </x:c>
      <x:c r="D5" s="34" t="str">
        <x:v>Não</x:v>
      </x:c>
      <x:c r="E5" s="34" t="str">
        <x:v>Sim</x:v>
      </x:c>
      <x:c r="F5" s="34" t="str">
        <x:v>Obrigatório no crédito</x:v>
      </x:c>
      <x:c r="G5" s="34" t="str">
        <x:v>Procuradoria/Câmara</x:v>
      </x:c>
      <x:c r="H5" s="34" t="str">
        <x:v>Controlar número, publicação e vigência</x:v>
      </x:c>
    </x:row>
    <x:row r="6" ht="48" customHeight="1">
      <x:c r="A6" s="34" t="n">
        <x:v>3</x:v>
      </x:c>
      <x:c r="B6" s="34" t="str">
        <x:v>PPA, LDO e LOA com projeto/contrapartida</x:v>
      </x:c>
      <x:c r="C6" s="34" t="str">
        <x:v>Sim</x:v>
      </x:c>
      <x:c r="D6" s="34" t="str">
        <x:v>Desejável</x:v>
      </x:c>
      <x:c r="E6" s="34" t="str">
        <x:v>Sim</x:v>
      </x:c>
      <x:c r="F6" s="34" t="str">
        <x:v>Obrigatório</x:v>
      </x:c>
      <x:c r="G6" s="34" t="str">
        <x:v>Planejamento/Fazenda</x:v>
      </x:c>
      <x:c r="H6" s="34" t="str">
        <x:v>Validar exercício e rubrica</x:v>
      </x:c>
    </x:row>
    <x:row r="7" ht="48" customHeight="1">
      <x:c r="A7" s="34" t="n">
        <x:v>4</x:v>
      </x:c>
      <x:c r="B7" s="34" t="str">
        <x:v>CAPAG e prévia fiscal</x:v>
      </x:c>
      <x:c r="C7" s="34" t="str">
        <x:v>Não</x:v>
      </x:c>
      <x:c r="D7" s="34" t="str">
        <x:v>Não</x:v>
      </x:c>
      <x:c r="E7" s="34" t="str">
        <x:v>Sim</x:v>
      </x:c>
      <x:c r="F7" s="34" t="str">
        <x:v>Crítico</x:v>
      </x:c>
      <x:c r="G7" s="34" t="str">
        <x:v>Fazenda</x:v>
      </x:c>
      <x:c r="H7" s="34" t="str">
        <x:v>Consultar situação e registrar data</x:v>
      </x:c>
    </x:row>
    <x:row r="8" ht="48" customHeight="1">
      <x:c r="A8" s="34" t="n">
        <x:v>5</x:v>
      </x:c>
      <x:c r="B8" s="34" t="str">
        <x:v>Limites de endividamento e garantias</x:v>
      </x:c>
      <x:c r="C8" s="34" t="str">
        <x:v>Não</x:v>
      </x:c>
      <x:c r="D8" s="34" t="str">
        <x:v>Não</x:v>
      </x:c>
      <x:c r="E8" s="34" t="str">
        <x:v>Sim</x:v>
      </x:c>
      <x:c r="F8" s="34" t="str">
        <x:v>Crítico</x:v>
      </x:c>
      <x:c r="G8" s="34" t="str">
        <x:v>Fazenda</x:v>
      </x:c>
      <x:c r="H8" s="34" t="str">
        <x:v>Checklist LRF/STN</x:v>
      </x:c>
    </x:row>
    <x:row r="9" ht="48" customHeight="1">
      <x:c r="A9" s="34" t="n">
        <x:v>6</x:v>
      </x:c>
      <x:c r="B9" s="34" t="str">
        <x:v>Inventário municipal de GEE</x:v>
      </x:c>
      <x:c r="C9" s="34" t="str">
        <x:v>Desejável</x:v>
      </x:c>
      <x:c r="D9" s="34" t="str">
        <x:v>Desejável</x:v>
      </x:c>
      <x:c r="E9" s="34" t="str">
        <x:v>Desejável</x:v>
      </x:c>
      <x:c r="F9" s="34" t="str">
        <x:v>Alta</x:v>
      </x:c>
      <x:c r="G9" s="34" t="str">
        <x:v>Meio Ambiente</x:v>
      </x:c>
      <x:c r="H9" s="34" t="str">
        <x:v>Metodologia, ano-base e escopos</x:v>
      </x:c>
    </x:row>
    <x:row r="10" ht="48" customHeight="1">
      <x:c r="A10" s="34" t="n">
        <x:v>7</x:v>
      </x:c>
      <x:c r="B10" s="34" t="str">
        <x:v>Plano municipal de mitigação/adaptação</x:v>
      </x:c>
      <x:c r="C10" s="34" t="str">
        <x:v>Alta</x:v>
      </x:c>
      <x:c r="D10" s="34" t="str">
        <x:v>Alta</x:v>
      </x:c>
      <x:c r="E10" s="34" t="str">
        <x:v>Alta</x:v>
      </x:c>
      <x:c r="F10" s="34" t="str">
        <x:v>Alta</x:v>
      </x:c>
      <x:c r="G10" s="34" t="str">
        <x:v>Meio Ambiente/Planejamento</x:v>
      </x:c>
      <x:c r="H10" s="34" t="str">
        <x:v>Relacionar metas e ações</x:v>
      </x:c>
    </x:row>
    <x:row r="11" ht="48" customHeight="1">
      <x:c r="A11" s="34" t="n">
        <x:v>8</x:v>
      </x:c>
      <x:c r="B11" s="34" t="str">
        <x:v>Mapa de riscos e vulnerabilidade climática</x:v>
      </x:c>
      <x:c r="C11" s="34" t="str">
        <x:v>Alta</x:v>
      </x:c>
      <x:c r="D11" s="34" t="str">
        <x:v>Alta</x:v>
      </x:c>
      <x:c r="E11" s="34" t="str">
        <x:v>Alta</x:v>
      </x:c>
      <x:c r="F11" s="34" t="str">
        <x:v>Alta</x:v>
      </x:c>
      <x:c r="G11" s="34" t="str">
        <x:v>Defesa Civil/Planejamento</x:v>
      </x:c>
      <x:c r="H11" s="34" t="str">
        <x:v>Camadas geográficas e população exposta</x:v>
      </x:c>
    </x:row>
    <x:row r="12" ht="48" customHeight="1">
      <x:c r="A12" s="34" t="n">
        <x:v>9</x:v>
      </x:c>
      <x:c r="B12" s="34" t="str">
        <x:v>Nota conceitual do projeto</x:v>
      </x:c>
      <x:c r="C12" s="34" t="str">
        <x:v>Sim</x:v>
      </x:c>
      <x:c r="D12" s="34" t="str">
        <x:v>Sim</x:v>
      </x:c>
      <x:c r="E12" s="34" t="str">
        <x:v>Sim</x:v>
      </x:c>
      <x:c r="F12" s="34" t="str">
        <x:v>Obrigatório</x:v>
      </x:c>
      <x:c r="G12" s="34" t="str">
        <x:v>Equipe do projeto</x:v>
      </x:c>
      <x:c r="H12" s="34" t="str">
        <x:v>Problema, solução, custos e resultados</x:v>
      </x:c>
    </x:row>
    <x:row r="13" ht="48" customHeight="1">
      <x:c r="A13" s="34" t="n">
        <x:v>10</x:v>
      </x:c>
      <x:c r="B13" s="34" t="str">
        <x:v>Estudo de pré-viabilidade</x:v>
      </x:c>
      <x:c r="C13" s="34" t="str">
        <x:v>Desejável</x:v>
      </x:c>
      <x:c r="D13" s="34" t="str">
        <x:v>Pode ser produto</x:v>
      </x:c>
      <x:c r="E13" s="34" t="str">
        <x:v>Sim</x:v>
      </x:c>
      <x:c r="F13" s="34" t="str">
        <x:v>Alta</x:v>
      </x:c>
      <x:c r="G13" s="34" t="str">
        <x:v>Infraestrutura/Consultoria</x:v>
      </x:c>
      <x:c r="H13" s="34" t="str">
        <x:v>Alternativas, demanda e custos</x:v>
      </x:c>
    </x:row>
    <x:row r="14" ht="48" customHeight="1">
      <x:c r="A14" s="34" t="n">
        <x:v>11</x:v>
      </x:c>
      <x:c r="B14" s="34" t="str">
        <x:v>Estudo de viabilidade técnico-econômica</x:v>
      </x:c>
      <x:c r="C14" s="34" t="str">
        <x:v>Conforme fundo</x:v>
      </x:c>
      <x:c r="D14" s="34" t="str">
        <x:v>Pode ser produto</x:v>
      </x:c>
      <x:c r="E14" s="34" t="str">
        <x:v>Sim</x:v>
      </x:c>
      <x:c r="F14" s="34" t="str">
        <x:v>Crítico</x:v>
      </x:c>
      <x:c r="G14" s="34" t="str">
        <x:v>Infraestrutura/Fazenda</x:v>
      </x:c>
      <x:c r="H14" s="34" t="str">
        <x:v>VPL/TIR quando aplicável e custo do ciclo de vida</x:v>
      </x:c>
    </x:row>
    <x:row r="15" ht="48" customHeight="1">
      <x:c r="A15" s="34" t="n">
        <x:v>12</x:v>
      </x:c>
      <x:c r="B15" s="34" t="str">
        <x:v>Projeto básico/executivo</x:v>
      </x:c>
      <x:c r="C15" s="34" t="str">
        <x:v>Conforme estágio</x:v>
      </x:c>
      <x:c r="D15" s="34" t="str">
        <x:v>Não</x:v>
      </x:c>
      <x:c r="E15" s="34" t="str">
        <x:v>Sim</x:v>
      </x:c>
      <x:c r="F15" s="34" t="str">
        <x:v>Alta</x:v>
      </x:c>
      <x:c r="G15" s="34" t="str">
        <x:v>Infraestrutura</x:v>
      </x:c>
      <x:c r="H15" s="34" t="str">
        <x:v>Versão, ART/RRT e orçamento</x:v>
      </x:c>
    </x:row>
    <x:row r="16" ht="48" customHeight="1">
      <x:c r="A16" s="34" t="n">
        <x:v>13</x:v>
      </x:c>
      <x:c r="B16" s="34" t="str">
        <x:v>Orçamento detalhado e cronograma físico-financeiro</x:v>
      </x:c>
      <x:c r="C16" s="34" t="str">
        <x:v>Sim</x:v>
      </x:c>
      <x:c r="D16" s="34" t="str">
        <x:v>Preliminar</x:v>
      </x:c>
      <x:c r="E16" s="34" t="str">
        <x:v>Sim</x:v>
      </x:c>
      <x:c r="F16" s="34" t="str">
        <x:v>Obrigatório</x:v>
      </x:c>
      <x:c r="G16" s="34" t="str">
        <x:v>Infraestrutura/Fazenda</x:v>
      </x:c>
      <x:c r="H16" s="34" t="str">
        <x:v>Moeda, câmbio, contingência e data-base</x:v>
      </x:c>
    </x:row>
    <x:row r="17" ht="48" customHeight="1">
      <x:c r="A17" s="34" t="n">
        <x:v>14</x:v>
      </x:c>
      <x:c r="B17" s="34" t="str">
        <x:v>Plano de aquisições</x:v>
      </x:c>
      <x:c r="C17" s="34" t="str">
        <x:v>Sim</x:v>
      </x:c>
      <x:c r="D17" s="34" t="str">
        <x:v>Não</x:v>
      </x:c>
      <x:c r="E17" s="34" t="str">
        <x:v>Sim</x:v>
      </x:c>
      <x:c r="F17" s="34" t="str">
        <x:v>Alta</x:v>
      </x:c>
      <x:c r="G17" s="34" t="str">
        <x:v>Licitações/UGP</x:v>
      </x:c>
      <x:c r="H17" s="34" t="str">
        <x:v>Regras nacionais e do financiador</x:v>
      </x:c>
    </x:row>
    <x:row r="18" ht="48" customHeight="1">
      <x:c r="A18" s="34" t="n">
        <x:v>15</x:v>
      </x:c>
      <x:c r="B18" s="34" t="str">
        <x:v>Licenças e estratégia de licenciamento</x:v>
      </x:c>
      <x:c r="C18" s="34" t="str">
        <x:v>Sim</x:v>
      </x:c>
      <x:c r="D18" s="34" t="str">
        <x:v>Preliminar</x:v>
      </x:c>
      <x:c r="E18" s="34" t="str">
        <x:v>Sim</x:v>
      </x:c>
      <x:c r="F18" s="34" t="str">
        <x:v>Crítico</x:v>
      </x:c>
      <x:c r="G18" s="34" t="str">
        <x:v>Meio Ambiente</x:v>
      </x:c>
      <x:c r="H18" s="34" t="str">
        <x:v>Órgão, fase, condicionantes e validade</x:v>
      </x:c>
    </x:row>
    <x:row r="19" ht="48" customHeight="1">
      <x:c r="A19" s="34" t="n">
        <x:v>16</x:v>
      </x:c>
      <x:c r="B19" s="34" t="str">
        <x:v>Situação fundiária e dominial</x:v>
      </x:c>
      <x:c r="C19" s="34" t="str">
        <x:v>Sim</x:v>
      </x:c>
      <x:c r="D19" s="34" t="str">
        <x:v>Preliminar</x:v>
      </x:c>
      <x:c r="E19" s="34" t="str">
        <x:v>Sim</x:v>
      </x:c>
      <x:c r="F19" s="34" t="str">
        <x:v>Crítico</x:v>
      </x:c>
      <x:c r="G19" s="34" t="str">
        <x:v>Patrimônio/Procuradoria</x:v>
      </x:c>
      <x:c r="H19" s="34" t="str">
        <x:v>Matrículas, desapropriações e servidões</x:v>
      </x:c>
    </x:row>
    <x:row r="20" ht="48" customHeight="1">
      <x:c r="A20" s="34" t="n">
        <x:v>17</x:v>
      </x:c>
      <x:c r="B20" s="34" t="str">
        <x:v>Avaliação ambiental e social / salvaguardas</x:v>
      </x:c>
      <x:c r="C20" s="34" t="str">
        <x:v>Sim</x:v>
      </x:c>
      <x:c r="D20" s="34" t="str">
        <x:v>Preliminar</x:v>
      </x:c>
      <x:c r="E20" s="34" t="str">
        <x:v>Sim</x:v>
      </x:c>
      <x:c r="F20" s="34" t="str">
        <x:v>Crítico</x:v>
      </x:c>
      <x:c r="G20" s="34" t="str">
        <x:v>Meio Ambiente/Social</x:v>
      </x:c>
      <x:c r="H20" s="34" t="str">
        <x:v>Padrão do financiador e plano de gestão</x:v>
      </x:c>
    </x:row>
    <x:row r="21" ht="48" customHeight="1">
      <x:c r="A21" s="34" t="n">
        <x:v>18</x:v>
      </x:c>
      <x:c r="B21" s="34" t="str">
        <x:v>Consulta e participação social</x:v>
      </x:c>
      <x:c r="C21" s="34" t="str">
        <x:v>Sim</x:v>
      </x:c>
      <x:c r="D21" s="34" t="str">
        <x:v>Desejável</x:v>
      </x:c>
      <x:c r="E21" s="34" t="str">
        <x:v>Sim</x:v>
      </x:c>
      <x:c r="F21" s="34" t="str">
        <x:v>Alta</x:v>
      </x:c>
      <x:c r="G21" s="34" t="str">
        <x:v>Social/Gabinete</x:v>
      </x:c>
      <x:c r="H21" s="34" t="str">
        <x:v>Públicos afetados, atas e respostas</x:v>
      </x:c>
    </x:row>
    <x:row r="22" ht="48" customHeight="1">
      <x:c r="A22" s="34" t="n">
        <x:v>19</x:v>
      </x:c>
      <x:c r="B22" s="34" t="str">
        <x:v>Plano de gênero e inclusão</x:v>
      </x:c>
      <x:c r="C22" s="34" t="str">
        <x:v>Frequente</x:v>
      </x:c>
      <x:c r="D22" s="34" t="str">
        <x:v>Desejável</x:v>
      </x:c>
      <x:c r="E22" s="34" t="str">
        <x:v>Frequente</x:v>
      </x:c>
      <x:c r="F22" s="34" t="str">
        <x:v>Alta</x:v>
      </x:c>
      <x:c r="G22" s="34" t="str">
        <x:v>Social/Planejamento</x:v>
      </x:c>
      <x:c r="H22" s="34" t="str">
        <x:v>Indicadores desagregados</x:v>
      </x:c>
    </x:row>
    <x:row r="23" ht="48" customHeight="1">
      <x:c r="A23" s="34" t="n">
        <x:v>20</x:v>
      </x:c>
      <x:c r="B23" s="34" t="str">
        <x:v>Matriz de resultados e MRV</x:v>
      </x:c>
      <x:c r="C23" s="34" t="str">
        <x:v>Sim</x:v>
      </x:c>
      <x:c r="D23" s="34" t="str">
        <x:v>Sim</x:v>
      </x:c>
      <x:c r="E23" s="34" t="str">
        <x:v>Sim</x:v>
      </x:c>
      <x:c r="F23" s="34" t="str">
        <x:v>Obrigatório</x:v>
      </x:c>
      <x:c r="G23" s="34" t="str">
        <x:v>Meio Ambiente/UGP</x:v>
      </x:c>
      <x:c r="H23" s="34" t="str">
        <x:v>Linha de base, metas, fontes e frequência</x:v>
      </x:c>
    </x:row>
    <x:row r="24" ht="48" customHeight="1">
      <x:c r="A24" s="34" t="n">
        <x:v>21</x:v>
      </x:c>
      <x:c r="B24" s="34" t="str">
        <x:v>Cálculo de emissões evitadas/adaptação</x:v>
      </x:c>
      <x:c r="C24" s="34" t="str">
        <x:v>Sim</x:v>
      </x:c>
      <x:c r="D24" s="34" t="str">
        <x:v>Sim</x:v>
      </x:c>
      <x:c r="E24" s="34" t="str">
        <x:v>Desejável</x:v>
      </x:c>
      <x:c r="F24" s="34" t="str">
        <x:v>Alta</x:v>
      </x:c>
      <x:c r="G24" s="34" t="str">
        <x:v>Meio Ambiente</x:v>
      </x:c>
      <x:c r="H24" s="34" t="str">
        <x:v>Premissas, fatores e metodologia</x:v>
      </x:c>
    </x:row>
    <x:row r="25" ht="48" customHeight="1">
      <x:c r="A25" s="34" t="n">
        <x:v>22</x:v>
      </x:c>
      <x:c r="B25" s="34" t="str">
        <x:v>Plano de operação e manutenção</x:v>
      </x:c>
      <x:c r="C25" s="34" t="str">
        <x:v>Sim</x:v>
      </x:c>
      <x:c r="D25" s="34" t="str">
        <x:v>Desejável</x:v>
      </x:c>
      <x:c r="E25" s="34" t="str">
        <x:v>Sim</x:v>
      </x:c>
      <x:c r="F25" s="34" t="str">
        <x:v>Crítico</x:v>
      </x:c>
      <x:c r="G25" s="34" t="str">
        <x:v>Secretaria executora</x:v>
      </x:c>
      <x:c r="H25" s="34" t="str">
        <x:v>Custos e fonte após implantação</x:v>
      </x:c>
    </x:row>
    <x:row r="26" ht="48" customHeight="1">
      <x:c r="A26" s="34" t="n">
        <x:v>23</x:v>
      </x:c>
      <x:c r="B26" s="34" t="str">
        <x:v>Estrutura e regimento da UGP</x:v>
      </x:c>
      <x:c r="C26" s="34" t="str">
        <x:v>Desejável</x:v>
      </x:c>
      <x:c r="D26" s="34" t="str">
        <x:v>Desejável</x:v>
      </x:c>
      <x:c r="E26" s="34" t="str">
        <x:v>Sim</x:v>
      </x:c>
      <x:c r="F26" s="34" t="str">
        <x:v>Alta</x:v>
      </x:c>
      <x:c r="G26" s="34" t="str">
        <x:v>Gabinete/Planejamento</x:v>
      </x:c>
      <x:c r="H26" s="34" t="str">
        <x:v>Papéis, equipe e dedicação</x:v>
      </x:c>
    </x:row>
    <x:row r="27" ht="48" customHeight="1">
      <x:c r="A27" s="34" t="n">
        <x:v>24</x:v>
      </x:c>
      <x:c r="B27" s="34" t="str">
        <x:v>Certidões e regularidade do ente</x:v>
      </x:c>
      <x:c r="C27" s="34" t="str">
        <x:v>Conforme fundo</x:v>
      </x:c>
      <x:c r="D27" s="34" t="str">
        <x:v>Não</x:v>
      </x:c>
      <x:c r="E27" s="34" t="str">
        <x:v>Sim</x:v>
      </x:c>
      <x:c r="F27" s="34" t="str">
        <x:v>Crítico</x:v>
      </x:c>
      <x:c r="G27" s="34" t="str">
        <x:v>Fazenda/Procuradoria</x:v>
      </x:c>
      <x:c r="H27" s="34" t="str">
        <x:v>Validade e pendências</x:v>
      </x:c>
    </x:row>
    <x:row r="28" ht="48" customHeight="1">
      <x:c r="A28" s="35" t="n">
        <x:v>25</x:v>
      </x:c>
      <x:c r="B28" s="35" t="str">
        <x:v>Carta de cofinanciamento/contrapartida</x:v>
      </x:c>
      <x:c r="C28" s="35" t="str">
        <x:v>Sim</x:v>
      </x:c>
      <x:c r="D28" s="35" t="str">
        <x:v>Desejável</x:v>
      </x:c>
      <x:c r="E28" s="35" t="str">
        <x:v>Sim</x:v>
      </x:c>
      <x:c r="F28" s="35" t="str">
        <x:v>Alta</x:v>
      </x:c>
      <x:c r="G28" s="35" t="str">
        <x:v>Fazenda/Parceiros</x:v>
      </x:c>
      <x:c r="H28" s="35" t="str">
        <x:v>Valor, fonte, condição e prazo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56225f8966b4f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8" hidden="0" customWidth="1"/>
    <x:col min="4" max="4" width="8" hidden="0" customWidth="1"/>
    <x:col min="5" max="5" width="14" hidden="0" customWidth="1"/>
    <x:col min="6" max="6" width="10" hidden="0" customWidth="1"/>
    <x:col min="7" max="7" width="34" hidden="0" customWidth="1"/>
    <x:col min="8" max="8" width="38" hidden="0" customWidth="1"/>
    <x:col min="9" max="9" width="3" hidden="0" customWidth="1"/>
    <x:col min="10" max="10" width="22" hidden="0" customWidth="1"/>
    <x:col min="11" max="11" width="28" hidden="0" customWidth="1"/>
    <x:col min="12" max="12" width="44" hidden="0" customWidth="1"/>
  </x:cols>
  <x:sheetData>
    <x:row r="1">
      <x:c r="A1" s="28" t="str">
        <x:v>Diagnóstico de prontidão para financiamento climático</x:v>
      </x:c>
      <x:c r="B1" s="28"/>
      <x:c r="C1" s="28"/>
      <x:c r="D1" s="28"/>
      <x:c r="E1" s="28"/>
      <x:c r="F1" s="28"/>
      <x:c r="G1" s="28"/>
      <x:c r="H1" s="28"/>
      <x:c r="I1" s="29"/>
      <x:c r="J1" s="28" t="str">
        <x:v>Resumo da prontidão</x:v>
      </x:c>
      <x:c r="K1" s="28"/>
      <x:c r="L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9"/>
      <x:c r="J2" s="29"/>
      <x:c r="K2" s="29"/>
      <x:c r="L2" s="29"/>
    </x:row>
    <x:row r="3" ht="42" customHeight="1">
      <x:c r="A3" s="32" t="str">
        <x:v>ID</x:v>
      </x:c>
      <x:c r="B3" s="32" t="str">
        <x:v>Dimensão</x:v>
      </x:c>
      <x:c r="C3" s="32" t="str">
        <x:v>Pergunta de diagnóstico</x:v>
      </x:c>
      <x:c r="D3" s="32" t="str">
        <x:v>Peso</x:v>
      </x:c>
      <x:c r="E3" s="32" t="str">
        <x:v>Resposta</x:v>
      </x:c>
      <x:c r="F3" s="32" t="str">
        <x:v>Pontos</x:v>
      </x:c>
      <x:c r="G3" s="32" t="str">
        <x:v>Evidência / pendência</x:v>
      </x:c>
      <x:c r="H3" s="32" t="str">
        <x:v>Próxima ação sugerida</x:v>
      </x:c>
      <x:c r="I3" s="29"/>
      <x:c r="J3" s="32" t="str">
        <x:v>Indicador</x:v>
      </x:c>
      <x:c r="K3" s="32" t="str">
        <x:v>Resultado</x:v>
      </x:c>
      <x:c r="L3" s="29"/>
    </x:row>
    <x:row r="4" ht="56" customHeight="1">
      <x:c r="A4" s="33" t="n">
        <x:v>1</x:v>
      </x:c>
      <x:c r="B4" s="33" t="str">
        <x:v>Governança</x:v>
      </x:c>
      <x:c r="C4" s="33" t="str">
        <x:v>Existe coordenador formal e equipe intersecretarial?</x:v>
      </x:c>
      <x:c r="D4" s="33" t="n">
        <x:v>5</x:v>
      </x:c>
      <x:c r="E4" s="52" t="str"/>
      <x:c r="F4" s="33" t="n">
        <x:f>IF(E4="Sim",D4,IF(E4="Parcial",D4*0.5,0))</x:f>
        <x:v>0</x:v>
      </x:c>
      <x:c r="G4" s="33" t="str"/>
      <x:c r="H4" s="33" t="str">
        <x:v>Publicar portaria e definir responsável</x:v>
      </x:c>
      <x:c r="I4" s="29"/>
      <x:c r="J4" s="29" t="str">
        <x:v>Pontos obtidos</x:v>
      </x:c>
      <x:c r="K4" s="29" t="n">
        <x:f>SUM(F4:F23)</x:f>
        <x:v>0</x:v>
      </x:c>
      <x:c r="L4" s="29"/>
    </x:row>
    <x:row r="5" ht="56" customHeight="1">
      <x:c r="A5" s="34" t="n">
        <x:v>2</x:v>
      </x:c>
      <x:c r="B5" s="34" t="str">
        <x:v>Estratégia</x:v>
      </x:c>
      <x:c r="C5" s="34" t="str">
        <x:v>Existe plano municipal climático aprovado ou em elaboração avançada?</x:v>
      </x:c>
      <x:c r="D5" s="34" t="n">
        <x:v>7</x:v>
      </x:c>
      <x:c r="E5" s="53" t="str"/>
      <x:c r="F5" s="34" t="n">
        <x:f>IF(E5="Sim",D5,IF(E5="Parcial",D5*0.5,0))</x:f>
        <x:v>0</x:v>
      </x:c>
      <x:c r="G5" s="34" t="str"/>
      <x:c r="H5" s="34" t="str">
        <x:v>Elaborar/atualizar plano de mitigação e adaptação</x:v>
      </x:c>
      <x:c r="I5" s="29"/>
      <x:c r="J5" s="29" t="str">
        <x:v>Pontos possíveis</x:v>
      </x:c>
      <x:c r="K5" s="29" t="n">
        <x:f>SUM(D4:D23)</x:f>
        <x:v>99</x:v>
      </x:c>
      <x:c r="L5" s="29"/>
    </x:row>
    <x:row r="6" ht="56" customHeight="1">
      <x:c r="A6" s="34" t="n">
        <x:v>3</x:v>
      </x:c>
      <x:c r="B6" s="34" t="str">
        <x:v>Dados</x:v>
      </x:c>
      <x:c r="C6" s="34" t="str">
        <x:v>Existe inventário municipal de GEE com metodologia e ano-base?</x:v>
      </x:c>
      <x:c r="D6" s="34" t="n">
        <x:v>5</x:v>
      </x:c>
      <x:c r="E6" s="53" t="str"/>
      <x:c r="F6" s="34" t="n">
        <x:f>IF(E6="Sim",D6,IF(E6="Parcial",D6*0.5,0))</x:f>
        <x:v>0</x:v>
      </x:c>
      <x:c r="G6" s="34" t="str"/>
      <x:c r="H6" s="34" t="str">
        <x:v>Produzir inventário compatível com GPC</x:v>
      </x:c>
      <x:c r="I6" s="29"/>
      <x:c r="J6" s="29" t="str">
        <x:v>Prontidão</x:v>
      </x:c>
      <x:c r="K6" s="54" t="n">
        <x:f>IF(K5=0,0,K4/K5)</x:f>
        <x:v>0</x:v>
      </x:c>
      <x:c r="L6" s="29"/>
    </x:row>
    <x:row r="7" ht="56" customHeight="1">
      <x:c r="A7" s="34" t="n">
        <x:v>4</x:v>
      </x:c>
      <x:c r="B7" s="34" t="str">
        <x:v>Risco</x:v>
      </x:c>
      <x:c r="C7" s="34" t="str">
        <x:v>Existe mapa de riscos e vulnerabilidade climática atualizado?</x:v>
      </x:c>
      <x:c r="D7" s="34" t="n">
        <x:v>6</x:v>
      </x:c>
      <x:c r="E7" s="53" t="str"/>
      <x:c r="F7" s="34" t="n">
        <x:f>IF(E7="Sim",D7,IF(E7="Parcial",D7*0.5,0))</x:f>
        <x:v>0</x:v>
      </x:c>
      <x:c r="G7" s="34" t="str"/>
      <x:c r="H7" s="34" t="str">
        <x:v>Mapear ameaças, exposição e vulnerabilidade</x:v>
      </x:c>
      <x:c r="I7" s="29"/>
      <x:c r="J7" s="29" t="str">
        <x:v>Classificação</x:v>
      </x:c>
      <x:c r="K7" s="29" t="str">
        <x:f>IF(K6&gt;=0.8,"Pronto para estruturação/negociação",IF(K6&gt;=0.6,"Em preparação avançada",IF(K6&gt;=0.4,"Preparação intermediária","Estágio inicial")))</x:f>
        <x:v>Estágio inicial</x:v>
      </x:c>
      <x:c r="L7" s="29"/>
    </x:row>
    <x:row r="8" ht="56" customHeight="1">
      <x:c r="A8" s="34" t="n">
        <x:v>5</x:v>
      </x:c>
      <x:c r="B8" s="34" t="str">
        <x:v>Priorização</x:v>
      </x:c>
      <x:c r="C8" s="34" t="str">
        <x:v>O projeto está priorizado no PPA e nos planos setoriais?</x:v>
      </x:c>
      <x:c r="D8" s="34" t="n">
        <x:v>5</x:v>
      </x:c>
      <x:c r="E8" s="53" t="str"/>
      <x:c r="F8" s="34" t="n">
        <x:f>IF(E8="Sim",D8,IF(E8="Parcial",D8*0.5,0))</x:f>
        <x:v>0</x:v>
      </x:c>
      <x:c r="G8" s="34" t="str"/>
      <x:c r="H8" s="34" t="str">
        <x:v>Formalizar prioridade e vínculo orçamentário</x:v>
      </x:c>
      <x:c r="I8" s="29"/>
      <x:c r="J8" s="29"/>
      <x:c r="K8" s="29"/>
      <x:c r="L8" s="29"/>
    </x:row>
    <x:row r="9" ht="56" customHeight="1">
      <x:c r="A9" s="34" t="n">
        <x:v>6</x:v>
      </x:c>
      <x:c r="B9" s="34" t="str">
        <x:v>Escopo</x:v>
      </x:c>
      <x:c r="C9" s="34" t="str">
        <x:v>O problema, solução, beneficiários e componentes estão definidos?</x:v>
      </x:c>
      <x:c r="D9" s="34" t="n">
        <x:v>6</x:v>
      </x:c>
      <x:c r="E9" s="53" t="str"/>
      <x:c r="F9" s="34" t="n">
        <x:f>IF(E9="Sim",D9,IF(E9="Parcial",D9*0.5,0))</x:f>
        <x:v>0</x:v>
      </x:c>
      <x:c r="G9" s="34" t="str"/>
      <x:c r="H9" s="34" t="str">
        <x:v>Preparar nota conceitual</x:v>
      </x:c>
      <x:c r="I9" s="29"/>
      <x:c r="J9" s="30" t="str">
        <x:v>Rota sugerida</x:v>
      </x:c>
      <x:c r="K9" s="30"/>
      <x:c r="L9" s="30"/>
    </x:row>
    <x:row r="10" ht="56" customHeight="1">
      <x:c r="A10" s="34" t="n">
        <x:v>7</x:v>
      </x:c>
      <x:c r="B10" s="34" t="str">
        <x:v>Clima</x:v>
      </x:c>
      <x:c r="C10" s="34" t="str">
        <x:v>A adicionalidade climática e os resultados são quantificados?</x:v>
      </x:c>
      <x:c r="D10" s="34" t="n">
        <x:v>6</x:v>
      </x:c>
      <x:c r="E10" s="53" t="str"/>
      <x:c r="F10" s="34" t="n">
        <x:f>IF(E10="Sim",D10,IF(E10="Parcial",D10*0.5,0))</x:f>
        <x:v>0</x:v>
      </x:c>
      <x:c r="G10" s="34" t="str"/>
      <x:c r="H10" s="34" t="str">
        <x:v>Calcular emissões evitadas ou risco reduzido</x:v>
      </x:c>
      <x:c r="I10" s="29"/>
      <x:c r="J10" s="32" t="str">
        <x:v>Faixa</x:v>
      </x:c>
      <x:c r="K10" s="32" t="str">
        <x:v>Prioridade</x:v>
      </x:c>
      <x:c r="L10" s="32" t="str">
        <x:v>Canais recomendados</x:v>
      </x:c>
    </x:row>
    <x:row r="11" ht="56" customHeight="1">
      <x:c r="A11" s="34" t="n">
        <x:v>8</x:v>
      </x:c>
      <x:c r="B11" s="34" t="str">
        <x:v>Custos</x:v>
      </x:c>
      <x:c r="C11" s="34" t="str">
        <x:v>Há orçamento preliminar com CAPEX, OPEX e contingência?</x:v>
      </x:c>
      <x:c r="D11" s="34" t="n">
        <x:v>5</x:v>
      </x:c>
      <x:c r="E11" s="53" t="str"/>
      <x:c r="F11" s="34" t="n">
        <x:f>IF(E11="Sim",D11,IF(E11="Parcial",D11*0.5,0))</x:f>
        <x:v>0</x:v>
      </x:c>
      <x:c r="G11" s="34" t="str"/>
      <x:c r="H11" s="34" t="str">
        <x:v>Elaborar estimativa e custo do ciclo de vida</x:v>
      </x:c>
      <x:c r="I11" s="29"/>
      <x:c r="J11" s="33" t="str">
        <x:v>0%–39%</x:v>
      </x:c>
      <x:c r="K11" s="33" t="str">
        <x:v>Preparar base institucional</x:v>
      </x:c>
      <x:c r="L11" s="33" t="str">
        <x:v>Gap Fund, CCFLA Hub, assistência técnica e planos climáticos</x:v>
      </x:c>
    </x:row>
    <x:row r="12" ht="56" customHeight="1">
      <x:c r="A12" s="34" t="n">
        <x:v>9</x:v>
      </x:c>
      <x:c r="B12" s="34" t="str">
        <x:v>Técnico</x:v>
      </x:c>
      <x:c r="C12" s="34" t="str">
        <x:v>Existe pré-viabilidade ou estudo de alternativas?</x:v>
      </x:c>
      <x:c r="D12" s="34" t="n">
        <x:v>6</x:v>
      </x:c>
      <x:c r="E12" s="53" t="str"/>
      <x:c r="F12" s="34" t="n">
        <x:f>IF(E12="Sim",D12,IF(E12="Parcial",D12*0.5,0))</x:f>
        <x:v>0</x:v>
      </x:c>
      <x:c r="G12" s="34" t="str"/>
      <x:c r="H12" s="34" t="str">
        <x:v>Contratar/realizar pré-viabilidade</x:v>
      </x:c>
      <x:c r="I12" s="29"/>
      <x:c r="J12" s="34" t="str">
        <x:v>40%–59%</x:v>
      </x:c>
      <x:c r="K12" s="34" t="str">
        <x:v>Pré-viabilidade e documentos</x:v>
      </x:c>
      <x:c r="L12" s="34" t="str">
        <x:v>C40 CFF, Gap Fund, cooperação técnica, bancos regionais</x:v>
      </x:c>
    </x:row>
    <x:row r="13" ht="56" customHeight="1">
      <x:c r="A13" s="34" t="n">
        <x:v>10</x:v>
      </x:c>
      <x:c r="B13" s="34" t="str">
        <x:v>Ambiental</x:v>
      </x:c>
      <x:c r="C13" s="34" t="str">
        <x:v>Licenciamento e salvaguardas foram mapeados?</x:v>
      </x:c>
      <x:c r="D13" s="34" t="n">
        <x:v>5</x:v>
      </x:c>
      <x:c r="E13" s="53" t="str"/>
      <x:c r="F13" s="34" t="n">
        <x:f>IF(E13="Sim",D13,IF(E13="Parcial",D13*0.5,0))</x:f>
        <x:v>0</x:v>
      </x:c>
      <x:c r="G13" s="34" t="str"/>
      <x:c r="H13" s="34" t="str">
        <x:v>Preparar estratégia ambiental e social</x:v>
      </x:c>
      <x:c r="I13" s="29"/>
      <x:c r="J13" s="34" t="str">
        <x:v>60%–79%</x:v>
      </x:c>
      <x:c r="K13" s="34" t="str">
        <x:v>Estruturar proposta e parceiro</x:v>
      </x:c>
      <x:c r="L13" s="34" t="str">
        <x:v>Fundo Amazônia se elegível, GCF/GEF via entidade, IKI/MAF via consórcio</x:v>
      </x:c>
    </x:row>
    <x:row r="14" ht="56" customHeight="1">
      <x:c r="A14" s="34" t="n">
        <x:v>11</x:v>
      </x:c>
      <x:c r="B14" s="34" t="str">
        <x:v>Fundiário</x:v>
      </x:c>
      <x:c r="C14" s="34" t="str">
        <x:v>Áreas, matrículas, servidões e desapropriações estão mapeadas?</x:v>
      </x:c>
      <x:c r="D14" s="34" t="n">
        <x:v>4</x:v>
      </x:c>
      <x:c r="E14" s="53" t="str"/>
      <x:c r="F14" s="34" t="n">
        <x:f>IF(E14="Sim",D14,IF(E14="Parcial",D14*0.5,0))</x:f>
        <x:v>0</x:v>
      </x:c>
      <x:c r="G14" s="34" t="str"/>
      <x:c r="H14" s="34" t="str">
        <x:v>Realizar diagnóstico fundiário</x:v>
      </x:c>
      <x:c r="I14" s="29"/>
      <x:c r="J14" s="35" t="str">
        <x:v>80%–100%</x:v>
      </x:c>
      <x:c r="K14" s="35" t="str">
        <x:v>Negociar financiamento</x:v>
      </x:c>
      <x:c r="L14" s="35" t="str">
        <x:v>BID, CAF, NDB, Banco Mundial, FONPLATA; iniciar COFIEX se crédito externo</x:v>
      </x:c>
    </x:row>
    <x:row r="15" ht="56" customHeight="1">
      <x:c r="A15" s="34" t="n">
        <x:v>12</x:v>
      </x:c>
      <x:c r="B15" s="34" t="str">
        <x:v>Social</x:v>
      </x:c>
      <x:c r="C15" s="34" t="str">
        <x:v>Comunidades afetadas foram identificadas e consultadas?</x:v>
      </x:c>
      <x:c r="D15" s="34" t="n">
        <x:v>4</x:v>
      </x:c>
      <x:c r="E15" s="53" t="str"/>
      <x:c r="F15" s="34" t="n">
        <x:f>IF(E15="Sim",D15,IF(E15="Parcial",D15*0.5,0))</x:f>
        <x:v>0</x:v>
      </x:c>
      <x:c r="G15" s="34" t="str"/>
      <x:c r="H15" s="34" t="str">
        <x:v>Planejar participação e mecanismo de queixas</x:v>
      </x:c>
      <x:c r="I15" s="29"/>
      <x:c r="J15" s="29"/>
      <x:c r="K15" s="29"/>
      <x:c r="L15" s="29"/>
    </x:row>
    <x:row r="16" ht="56" customHeight="1">
      <x:c r="A16" s="34" t="n">
        <x:v>13</x:v>
      </x:c>
      <x:c r="B16" s="34" t="str">
        <x:v>Inclusão</x:v>
      </x:c>
      <x:c r="C16" s="34" t="str">
        <x:v>Há abordagem de gênero e grupos vulneráveis?</x:v>
      </x:c>
      <x:c r="D16" s="34" t="n">
        <x:v>3</x:v>
      </x:c>
      <x:c r="E16" s="53" t="str"/>
      <x:c r="F16" s="34" t="n">
        <x:f>IF(E16="Sim",D16,IF(E16="Parcial",D16*0.5,0))</x:f>
        <x:v>0</x:v>
      </x:c>
      <x:c r="G16" s="34" t="str"/>
      <x:c r="H16" s="34" t="str">
        <x:v>Criar indicadores inclusivos</x:v>
      </x:c>
      <x:c r="I16" s="29"/>
      <x:c r="J16" s="29"/>
      <x:c r="K16" s="29"/>
      <x:c r="L16" s="29"/>
    </x:row>
    <x:row r="17" ht="56" customHeight="1">
      <x:c r="A17" s="34" t="n">
        <x:v>14</x:v>
      </x:c>
      <x:c r="B17" s="34" t="str">
        <x:v>Resultados</x:v>
      </x:c>
      <x:c r="C17" s="34" t="str">
        <x:v>Existe matriz de resultados, linha de base e MRV?</x:v>
      </x:c>
      <x:c r="D17" s="34" t="n">
        <x:v>5</x:v>
      </x:c>
      <x:c r="E17" s="53" t="str"/>
      <x:c r="F17" s="34" t="n">
        <x:f>IF(E17="Sim",D17,IF(E17="Parcial",D17*0.5,0))</x:f>
        <x:v>0</x:v>
      </x:c>
      <x:c r="G17" s="34" t="str"/>
      <x:c r="H17" s="34" t="str">
        <x:v>Definir indicadores, metas e fontes</x:v>
      </x:c>
      <x:c r="I17" s="29"/>
      <x:c r="J17" s="29"/>
      <x:c r="K17" s="29"/>
      <x:c r="L17" s="29"/>
    </x:row>
    <x:row r="18" ht="56" customHeight="1">
      <x:c r="A18" s="34" t="n">
        <x:v>15</x:v>
      </x:c>
      <x:c r="B18" s="34" t="str">
        <x:v>Fiscal</x:v>
      </x:c>
      <x:c r="C18" s="34" t="str">
        <x:v>A prefeitura conhece sua CAPAG e margem de endividamento?</x:v>
      </x:c>
      <x:c r="D18" s="34" t="n">
        <x:v>6</x:v>
      </x:c>
      <x:c r="E18" s="53" t="str"/>
      <x:c r="F18" s="34" t="n">
        <x:f>IF(E18="Sim",D18,IF(E18="Parcial",D18*0.5,0))</x:f>
        <x:v>0</x:v>
      </x:c>
      <x:c r="G18" s="34" t="str"/>
      <x:c r="H18" s="34" t="str">
        <x:v>Executar pré-diagnóstico fiscal</x:v>
      </x:c>
      <x:c r="I18" s="29"/>
      <x:c r="J18" s="29"/>
      <x:c r="K18" s="29"/>
      <x:c r="L18" s="29"/>
    </x:row>
    <x:row r="19" ht="56" customHeight="1">
      <x:c r="A19" s="34" t="n">
        <x:v>16</x:v>
      </x:c>
      <x:c r="B19" s="34" t="str">
        <x:v>Contrapartida</x:v>
      </x:c>
      <x:c r="C19" s="34" t="str">
        <x:v>Há fonte de contrapartida financeira ou não financeira?</x:v>
      </x:c>
      <x:c r="D19" s="34" t="n">
        <x:v>5</x:v>
      </x:c>
      <x:c r="E19" s="53" t="str"/>
      <x:c r="F19" s="34" t="n">
        <x:f>IF(E19="Sim",D19,IF(E19="Parcial",D19*0.5,0))</x:f>
        <x:v>0</x:v>
      </x:c>
      <x:c r="G19" s="34" t="str"/>
      <x:c r="H19" s="34" t="str">
        <x:v>Reservar contrapartida no orçamento</x:v>
      </x:c>
      <x:c r="I19" s="29"/>
      <x:c r="J19" s="29"/>
      <x:c r="K19" s="29"/>
      <x:c r="L19" s="29"/>
    </x:row>
    <x:row r="20" ht="56" customHeight="1">
      <x:c r="A20" s="34" t="n">
        <x:v>17</x:v>
      </x:c>
      <x:c r="B20" s="34" t="str">
        <x:v>Operação</x:v>
      </x:c>
      <x:c r="C20" s="34" t="str">
        <x:v>Há plano e recursos para operação e manutenção pós-projeto?</x:v>
      </x:c>
      <x:c r="D20" s="34" t="n">
        <x:v>5</x:v>
      </x:c>
      <x:c r="E20" s="53" t="str"/>
      <x:c r="F20" s="34" t="n">
        <x:f>IF(E20="Sim",D20,IF(E20="Parcial",D20*0.5,0))</x:f>
        <x:v>0</x:v>
      </x:c>
      <x:c r="G20" s="34" t="str"/>
      <x:c r="H20" s="34" t="str">
        <x:v>Definir custeio e responsável operacional</x:v>
      </x:c>
      <x:c r="I20" s="29"/>
      <x:c r="J20" s="29"/>
      <x:c r="K20" s="29"/>
      <x:c r="L20" s="29"/>
    </x:row>
    <x:row r="21" ht="56" customHeight="1">
      <x:c r="A21" s="34" t="n">
        <x:v>18</x:v>
      </x:c>
      <x:c r="B21" s="34" t="str">
        <x:v>Execução</x:v>
      </x:c>
      <x:c r="C21" s="34" t="str">
        <x:v>A prefeitura possui ou consegue formar uma UGP?</x:v>
      </x:c>
      <x:c r="D21" s="34" t="n">
        <x:v>4</x:v>
      </x:c>
      <x:c r="E21" s="53" t="str"/>
      <x:c r="F21" s="34" t="n">
        <x:f>IF(E21="Sim",D21,IF(E21="Parcial",D21*0.5,0))</x:f>
        <x:v>0</x:v>
      </x:c>
      <x:c r="G21" s="34" t="str"/>
      <x:c r="H21" s="34" t="str">
        <x:v>Desenhar unidade de gerenciamento</x:v>
      </x:c>
      <x:c r="I21" s="29"/>
      <x:c r="J21" s="29"/>
      <x:c r="K21" s="29"/>
      <x:c r="L21" s="29"/>
    </x:row>
    <x:row r="22" ht="56" customHeight="1">
      <x:c r="A22" s="34" t="n">
        <x:v>19</x:v>
      </x:c>
      <x:c r="B22" s="34" t="str">
        <x:v>Aquisições</x:v>
      </x:c>
      <x:c r="C22" s="34" t="str">
        <x:v>A equipe conhece regras de licitação do financiador?</x:v>
      </x:c>
      <x:c r="D22" s="34" t="n">
        <x:v>3</x:v>
      </x:c>
      <x:c r="E22" s="53" t="str"/>
      <x:c r="F22" s="34" t="n">
        <x:f>IF(E22="Sim",D22,IF(E22="Parcial",D22*0.5,0))</x:f>
        <x:v>0</x:v>
      </x:c>
      <x:c r="G22" s="34" t="str"/>
      <x:c r="H22" s="34" t="str">
        <x:v>Planejar capacitação e aquisições</x:v>
      </x:c>
      <x:c r="I22" s="29"/>
      <x:c r="J22" s="29"/>
      <x:c r="K22" s="29"/>
      <x:c r="L22" s="29"/>
    </x:row>
    <x:row r="23" ht="56" customHeight="1">
      <x:c r="A23" s="35" t="n">
        <x:v>20</x:v>
      </x:c>
      <x:c r="B23" s="35" t="str">
        <x:v>Parcerias</x:v>
      </x:c>
      <x:c r="C23" s="35" t="str">
        <x:v>Há diálogo inicial com financiador, agência ou parceiro técnico?</x:v>
      </x:c>
      <x:c r="D23" s="35" t="n">
        <x:v>4</x:v>
      </x:c>
      <x:c r="E23" s="55" t="str"/>
      <x:c r="F23" s="35" t="n">
        <x:f>IF(E23="Sim",D23,IF(E23="Parcial",D23*0.5,0))</x:f>
        <x:v>0</x:v>
      </x:c>
      <x:c r="G23" s="35" t="str"/>
      <x:c r="H23" s="35" t="str">
        <x:v>Preparar abordagem e reunião de enquadramento</x:v>
      </x:c>
      <x:c r="I23" s="29"/>
      <x:c r="J23" s="29"/>
      <x:c r="K23" s="29"/>
      <x:c r="L23" s="29"/>
    </x:row>
  </x:sheetData>
  <x:mergeCells>
    <x:mergeCell ref="A1:H2"/>
    <x:mergeCell ref="J1:L1"/>
    <x:mergeCell ref="J9:L9"/>
  </x:mergeCells>
  <x:conditionalFormatting sqref="F4:F23">
    <x:cfRule type="dataBar" priority="1">
      <x:dataBar>
        <x:cfvo type="min"/>
        <x:cfvo type="max"/>
        <x:color rgb="FF176B54"/>
      </x:dataBar>
      <x:extLst>
        <x:ext xmlns:x14="http://schemas.microsoft.com/office/spreadsheetml/2009/9/main" uri="{B025F937-C7B1-47D3-B67F-A62EFF666E3E}">
          <x14:id>{D4C35D22-9932-F029-B08B-AD136C794330}</x14:id>
        </x:ext>
      </x:extLst>
    </x:cfRule>
  </x:conditionalFormatting>
  <x:conditionalFormatting sqref="K6:K6">
    <x:cfRule type="colorScale" priority="2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dataValidations count="1">
    <x:dataValidation type="list" sqref="E4:E23">
      <x:formula1>"Sim,Parcial,Não"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4C35D22-9932-F029-B08B-AD136C794330}">
            <x14:dataBar gradient="1">
              <x14:cfvo type="min"/>
              <x14:cfvo type="max"/>
              <x14:fillColor rgb="FF176B54"/>
            </x14:dataBar>
          </x14:cfRule>
          <xm:sqref>F4:F23</xm:sqref>
        </x14:conditionalFormatting>
      </x14:conditionalFormattings>
    </x:ext>
  </x:extLst>
</x:worksheet>
</file>